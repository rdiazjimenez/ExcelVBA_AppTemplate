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9f5c8f4b6f5645e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mc:AlternateContent xmlns:mc="http://schemas.openxmlformats.org/markup-compatibility/2006">
    <mc:Choice Requires="x15">
      <x15ac:absPath xmlns:x15ac="http://schemas.microsoft.com/office/spreadsheetml/2010/11/ac" url="C:\Nube\GitHub\ExcelVBA_AppTemplate\"/>
    </mc:Choice>
  </mc:AlternateContent>
  <xr:revisionPtr revIDLastSave="0" documentId="13_ncr:1_{E1489C46-7ADB-4BFD-94B1-0C63078F2C62}" xr6:coauthVersionLast="45" xr6:coauthVersionMax="45" xr10:uidLastSave="{00000000-0000-0000-0000-000000000000}"/>
  <workbookProtection lockStructure="1"/>
  <bookViews>
    <workbookView xWindow="-120" yWindow="-120" windowWidth="29040" windowHeight="15840" activeTab="2" xr2:uid="{17E476AE-D7A5-4AAC-8319-7FFD71CC4EAB}"/>
  </bookViews>
  <sheets>
    <sheet name="ReporteEstilos" sheetId="21" r:id="rId1"/>
    <sheet name="TestQuery" sheetId="20" r:id="rId2"/>
    <sheet name="Portada" sheetId="11" r:id="rId3"/>
    <sheet name="Plantilla" sheetId="12" r:id="rId4"/>
    <sheet name="Parametros" sheetId="13" r:id="rId5"/>
    <sheet name="Configuracion" sheetId="14" r:id="rId6"/>
    <sheet name="Rendimiento" sheetId="15" r:id="rId7"/>
    <sheet name="Registros" sheetId="16" r:id="rId8"/>
    <sheet name="Estilos" sheetId="17" r:id="rId9"/>
    <sheet name="AppConfig" sheetId="18" r:id="rId10"/>
    <sheet name="Listados" sheetId="19" r:id="rId11"/>
  </sheets>
  <functionGroups builtInGroupCount="19"/>
  <definedNames>
    <definedName name="APP_Ribbon_Pointer" hidden="1">2427128457680</definedName>
    <definedName name="APP_Version_CurrentType" hidden="1">0</definedName>
    <definedName name="APP_Version_ExcelName" hidden="1">"0|02|00|Alfa"</definedName>
    <definedName name="CON_Cargar_Det_Hist">Configuracion!$G$7</definedName>
    <definedName name="CON_Tab_Mostrar_Inicio">Configuracion!$G$5</definedName>
    <definedName name="DatosExternos_1" localSheetId="1" hidden="1">TestQuery!$A$1:$B$101</definedName>
    <definedName name="LIS_AccionGeneral_Titulo">Listados!$E$11:$E$17</definedName>
    <definedName name="LIS_AccionPlantilla_Titulo">Listados!$E$22:$E$25</definedName>
    <definedName name="LIS_Dias_En_Ano">Listados!$E$87</definedName>
    <definedName name="LIS_Fact_Conv">Listados!$E$30:$E$33</definedName>
    <definedName name="LIS_Meses_En_Ano">Listados!$E$86</definedName>
    <definedName name="LIS_Modalidad_InteresCapital">Listados!A74:A75</definedName>
    <definedName name="LIS_Modulo_NombreVBA">Listados!A51:A65</definedName>
    <definedName name="LIS_Opcion_Si">Listados!$E$80</definedName>
    <definedName name="LIS_Opcion_SiNo">Listados!$E$80:$E$81</definedName>
    <definedName name="LIS_PestanaCinOpciones_Nombre">Listados!$E$73:$E$75</definedName>
    <definedName name="LIS_ST_Meses_Nombres">Listados!$E$57:$E$68</definedName>
    <definedName name="LIS_TipoObjetoExcel_Tipo">Listados!$E$92:$E$93</definedName>
    <definedName name="LIS_Version_Desarrollo">Listados!$E$104:$E$106</definedName>
    <definedName name="PAR_App_Company_Name">Parametros!$G$5</definedName>
    <definedName name="PAR_App_Date_Updated">Parametros!$G$6</definedName>
    <definedName name="PAR_App_Tags">Parametros!$G$4</definedName>
    <definedName name="PAR_App_Title">Parametros!$G$3</definedName>
    <definedName name="SegmentaciónDeDatos_Tipo_de_objeto">#N/A</definedName>
    <definedName name="VAR_Mostrar_Input_Validacion">"Si"</definedName>
    <definedName name="VAR_PointerRibbon">1478782626656</definedName>
  </definedNames>
  <calcPr calcId="191029"/>
  <pivotCaches>
    <pivotCache cacheId="8"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4"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Ricardo Diaz</author>
  </authors>
  <commentList>
    <comment ref="J56" authorId="0" shapeId="0" xr:uid="{15CF9C17-673D-4972-8737-DB0664992095}">
      <text>
        <r>
          <rPr>
            <b/>
            <sz val="9"/>
            <color indexed="81"/>
            <rFont val="Tahoma"/>
            <family val="2"/>
          </rPr>
          <t>Nota:</t>
        </r>
        <r>
          <rPr>
            <sz val="9"/>
            <color indexed="81"/>
            <rFont val="Tahoma"/>
            <family val="2"/>
          </rPr>
          <t xml:space="preserve">
LIS = Listado
ST = Serie de tiempo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7F004F2-0D3C-4C03-A54D-A2BA6FB4361D}" keepAlive="1" name="Consulta - TestQuery" description="Conexión a la consulta 'TestQuery' en el libro." type="5" refreshedVersion="6" saveData="1">
    <dbPr connection="Provider=Microsoft.Mashup.OleDb.1;Data Source=$Workbook$;Location=TestQuery;Extended Properties=&quot;&quot;" command="SELECT * FROM [TestQuery]"/>
  </connection>
</connections>
</file>

<file path=xl/sharedStrings.xml><?xml version="1.0" encoding="utf-8"?>
<sst xmlns="http://schemas.openxmlformats.org/spreadsheetml/2006/main" count="662" uniqueCount="414">
  <si>
    <t>Tipo fuente</t>
  </si>
  <si>
    <t>Tamaño fuente</t>
  </si>
  <si>
    <t>Estilo fuente</t>
  </si>
  <si>
    <t>Estilos de celda</t>
  </si>
  <si>
    <t>A. -&gt; Generales</t>
  </si>
  <si>
    <t>Año</t>
  </si>
  <si>
    <t>Calibri</t>
  </si>
  <si>
    <t>Normal</t>
  </si>
  <si>
    <t>Fecha hora</t>
  </si>
  <si>
    <t>Fecha</t>
  </si>
  <si>
    <t>Indicador número</t>
  </si>
  <si>
    <t>Moneda</t>
  </si>
  <si>
    <t>Múltiplo</t>
  </si>
  <si>
    <t>Número</t>
  </si>
  <si>
    <t>Porcentaje</t>
  </si>
  <si>
    <t>B. -&gt; Archivo</t>
  </si>
  <si>
    <t>Anotación</t>
  </si>
  <si>
    <t>anotación</t>
  </si>
  <si>
    <t>Cálculo interno</t>
  </si>
  <si>
    <t>cálculo interno</t>
  </si>
  <si>
    <t>Parámetro interno</t>
  </si>
  <si>
    <t>parámetro interno</t>
  </si>
  <si>
    <t>Resultado interno</t>
  </si>
  <si>
    <t>resultado interno</t>
  </si>
  <si>
    <t>C. -&gt; Totales</t>
  </si>
  <si>
    <t>Total1</t>
  </si>
  <si>
    <t>total1</t>
  </si>
  <si>
    <t>Negrita</t>
  </si>
  <si>
    <t>Total2</t>
  </si>
  <si>
    <t>total2</t>
  </si>
  <si>
    <t>Subtotal</t>
  </si>
  <si>
    <t>subtotal</t>
  </si>
  <si>
    <t>D. -&gt; Encabezados globales</t>
  </si>
  <si>
    <t>Enc glo1</t>
  </si>
  <si>
    <t>enc glo1</t>
  </si>
  <si>
    <t>Trebuchet MS</t>
  </si>
  <si>
    <t>Enc glo2</t>
  </si>
  <si>
    <t>enc glo2</t>
  </si>
  <si>
    <t>E. -&gt; Encabezados</t>
  </si>
  <si>
    <t>Enc tabla1</t>
  </si>
  <si>
    <t>enc tabla1</t>
  </si>
  <si>
    <t>Calibri Light</t>
  </si>
  <si>
    <t>Enc tabla2</t>
  </si>
  <si>
    <t>enc tabla2</t>
  </si>
  <si>
    <t>Enc1</t>
  </si>
  <si>
    <t>enc1</t>
  </si>
  <si>
    <t>Enc2</t>
  </si>
  <si>
    <t>enc2</t>
  </si>
  <si>
    <t>Enc3</t>
  </si>
  <si>
    <t>enc3</t>
  </si>
  <si>
    <t>Enc4</t>
  </si>
  <si>
    <t>enc4</t>
  </si>
  <si>
    <t>Enc5</t>
  </si>
  <si>
    <t>enc5</t>
  </si>
  <si>
    <t>H. -&gt; Hipervínculos</t>
  </si>
  <si>
    <t>Ícono</t>
  </si>
  <si>
    <t>ícono</t>
  </si>
  <si>
    <t>Wingdings</t>
  </si>
  <si>
    <t>Texto</t>
  </si>
  <si>
    <t>P. -&gt; Presentación generales</t>
  </si>
  <si>
    <t>Q. -&gt; Presentación totales</t>
  </si>
  <si>
    <t>Pres total1</t>
  </si>
  <si>
    <t>pres total1</t>
  </si>
  <si>
    <t>Pres total2</t>
  </si>
  <si>
    <t>pres total2</t>
  </si>
  <si>
    <t>Pres subtotal</t>
  </si>
  <si>
    <t>pres subtotal</t>
  </si>
  <si>
    <t>S. -&gt; Supuestos</t>
  </si>
  <si>
    <t xml:space="preserve">Columna </t>
  </si>
  <si>
    <t xml:space="preserve">columna </t>
  </si>
  <si>
    <t>texto</t>
  </si>
  <si>
    <t>Estilos de tablas</t>
  </si>
  <si>
    <t>Entrada manual</t>
  </si>
  <si>
    <t>Tabla de entrada manual</t>
  </si>
  <si>
    <t>Conexión externa</t>
  </si>
  <si>
    <t>Tabla con conexión externa</t>
  </si>
  <si>
    <t>Mixta</t>
  </si>
  <si>
    <t>Tabla manual y externa</t>
  </si>
  <si>
    <t>Sistema</t>
  </si>
  <si>
    <t>Tabla del sistema</t>
  </si>
  <si>
    <t>Versión</t>
  </si>
  <si>
    <t>Parameters</t>
  </si>
  <si>
    <t>Title</t>
  </si>
  <si>
    <t>Prueba</t>
  </si>
  <si>
    <t>Tags</t>
  </si>
  <si>
    <t>firstTag, secondTag</t>
  </si>
  <si>
    <t>Company name</t>
  </si>
  <si>
    <t>Test company name</t>
  </si>
  <si>
    <t>Date updated</t>
  </si>
  <si>
    <t>Configuraciones</t>
  </si>
  <si>
    <t>Pestaña activa al abrir archivo</t>
  </si>
  <si>
    <t>Herramientas</t>
  </si>
  <si>
    <t>CON_Tab_Mostrar_Inicio</t>
  </si>
  <si>
    <t>Cargar detalle histórico</t>
  </si>
  <si>
    <t>Si</t>
  </si>
  <si>
    <t>CON_Cargar_Det_Hist</t>
  </si>
  <si>
    <t>Cargar ajustes histórico</t>
  </si>
  <si>
    <t>Cargar buffer de Power Query</t>
  </si>
  <si>
    <t>No</t>
  </si>
  <si>
    <t>Ruta raiz</t>
  </si>
  <si>
    <t>C:\Nube\Ofiz\Gensa Modelo Financiero 2019 - Documentos\GitHub\ModeloFinanciero</t>
  </si>
  <si>
    <t>Carpeta modelo</t>
  </si>
  <si>
    <t>Modelo</t>
  </si>
  <si>
    <t>Carpeta fuentes de información</t>
  </si>
  <si>
    <t>Fuentes de información</t>
  </si>
  <si>
    <t>Carpeta fuentes de información contables</t>
  </si>
  <si>
    <t>Apoteosys</t>
  </si>
  <si>
    <t>Carpeta plantillas</t>
  </si>
  <si>
    <t>Plantillas</t>
  </si>
  <si>
    <t>Carpeta fuentes de información interno</t>
  </si>
  <si>
    <t>Interno</t>
  </si>
  <si>
    <t>Reporte de rendimiento</t>
  </si>
  <si>
    <t>Nivel</t>
  </si>
  <si>
    <t>(Todas)</t>
  </si>
  <si>
    <t>Tipo de objeto</t>
  </si>
  <si>
    <t>Suma de Tiempo transcurrido</t>
  </si>
  <si>
    <t>Etiquetas de columna</t>
  </si>
  <si>
    <t>Etiquetas de fila</t>
  </si>
  <si>
    <t>14/11/2019 10:38:43 p. m.</t>
  </si>
  <si>
    <t>14/11/2019 10:38:50 p. m.</t>
  </si>
  <si>
    <t>14/11/2019 10:47:27 p. m.</t>
  </si>
  <si>
    <t>14/11/2019 10:48:09 p. m.</t>
  </si>
  <si>
    <t>15/11/2019 10:30:44 a. m.</t>
  </si>
  <si>
    <t>Total general</t>
  </si>
  <si>
    <t>Rendimiento</t>
  </si>
  <si>
    <t>AppConfig</t>
  </si>
  <si>
    <t>Configuracion</t>
  </si>
  <si>
    <t>Estilos</t>
  </si>
  <si>
    <t>Listados</t>
  </si>
  <si>
    <t>Parametros</t>
  </si>
  <si>
    <t>Plantilla</t>
  </si>
  <si>
    <t>Registros</t>
  </si>
  <si>
    <t>ReporteEstilos</t>
  </si>
  <si>
    <t>SampleQuery</t>
  </si>
  <si>
    <t>TemplateWorkbook.xlsm</t>
  </si>
  <si>
    <t>Portada</t>
  </si>
  <si>
    <t>Eventos</t>
  </si>
  <si>
    <t>Logger</t>
  </si>
  <si>
    <t>Usuario</t>
  </si>
  <si>
    <t>Evento</t>
  </si>
  <si>
    <t>Nombre de objeto</t>
  </si>
  <si>
    <t>Parámetros</t>
  </si>
  <si>
    <t>Ajustes</t>
  </si>
  <si>
    <t>Tiempo transcurrido</t>
  </si>
  <si>
    <t>Detalles</t>
  </si>
  <si>
    <t>Administrador de estilos</t>
  </si>
  <si>
    <t>Clasificación de estilos</t>
  </si>
  <si>
    <t>Style name</t>
  </si>
  <si>
    <t>Type</t>
  </si>
  <si>
    <t>Action</t>
  </si>
  <si>
    <t>Duplicated new style name | replace with (style name)</t>
  </si>
  <si>
    <t>ID</t>
  </si>
  <si>
    <t>20% - Énfasis1</t>
  </si>
  <si>
    <t>BuiltIn</t>
  </si>
  <si>
    <t>A</t>
  </si>
  <si>
    <t>Generales</t>
  </si>
  <si>
    <t>20% - Énfasis2</t>
  </si>
  <si>
    <t>B</t>
  </si>
  <si>
    <t>Archivo</t>
  </si>
  <si>
    <t>20% - Énfasis3</t>
  </si>
  <si>
    <t>C</t>
  </si>
  <si>
    <t>Totales</t>
  </si>
  <si>
    <t>20% - Énfasis4</t>
  </si>
  <si>
    <t>D</t>
  </si>
  <si>
    <t>Encabezados globales</t>
  </si>
  <si>
    <t>20% - Énfasis5</t>
  </si>
  <si>
    <t>E</t>
  </si>
  <si>
    <t>Encabezados</t>
  </si>
  <si>
    <t>20% - Énfasis6</t>
  </si>
  <si>
    <t>H</t>
  </si>
  <si>
    <t>Hipervínculos</t>
  </si>
  <si>
    <t>40% - Énfasis1</t>
  </si>
  <si>
    <t>P</t>
  </si>
  <si>
    <t>Presentación generales</t>
  </si>
  <si>
    <t>40% - Énfasis2</t>
  </si>
  <si>
    <t>Q</t>
  </si>
  <si>
    <t>Presentación totales</t>
  </si>
  <si>
    <t>40% - Énfasis3</t>
  </si>
  <si>
    <t>S</t>
  </si>
  <si>
    <t>Supuestos</t>
  </si>
  <si>
    <t>40% - Énfasis4</t>
  </si>
  <si>
    <t>40% - Énfasis5</t>
  </si>
  <si>
    <t>40% - Énfasis6</t>
  </si>
  <si>
    <t>60% - Énfasis1</t>
  </si>
  <si>
    <t>60% - Énfasis2</t>
  </si>
  <si>
    <t>60% - Énfasis3</t>
  </si>
  <si>
    <t>60% - Énfasis4</t>
  </si>
  <si>
    <t>60% - Énfasis5</t>
  </si>
  <si>
    <t>60% - Énfasis6</t>
  </si>
  <si>
    <t>A. año:-</t>
  </si>
  <si>
    <t>Custom</t>
  </si>
  <si>
    <t>A. fecha hora:-</t>
  </si>
  <si>
    <t>A. fecha:-</t>
  </si>
  <si>
    <t>A. indicador número:-</t>
  </si>
  <si>
    <t>A. moneda:-</t>
  </si>
  <si>
    <t>A. múltiplo:-</t>
  </si>
  <si>
    <t>A. número:-</t>
  </si>
  <si>
    <t>A. porcentaje:-</t>
  </si>
  <si>
    <t>B1. anotación:-</t>
  </si>
  <si>
    <t>B2. cálculo interno:-</t>
  </si>
  <si>
    <t>B3. parámetro interno:-</t>
  </si>
  <si>
    <t>B4. resultado interno:-</t>
  </si>
  <si>
    <t>Bueno</t>
  </si>
  <si>
    <t>C1. total1:-</t>
  </si>
  <si>
    <t>C2. total2:-</t>
  </si>
  <si>
    <t>C3. subtotal:-</t>
  </si>
  <si>
    <t>Cálculo</t>
  </si>
  <si>
    <t>Celda de comprobación</t>
  </si>
  <si>
    <t>Celda vinculada</t>
  </si>
  <si>
    <t>D. enc glo1:-</t>
  </si>
  <si>
    <t>D. enc glo2:-</t>
  </si>
  <si>
    <t>E. enc tabla1:-</t>
  </si>
  <si>
    <t>E. enc tabla2:-</t>
  </si>
  <si>
    <t>E. enc1:-</t>
  </si>
  <si>
    <t>E. enc2:-</t>
  </si>
  <si>
    <t>E. enc3:-</t>
  </si>
  <si>
    <t>E. enc4:-</t>
  </si>
  <si>
    <t>E. enc5:-</t>
  </si>
  <si>
    <t>Encabezado 1</t>
  </si>
  <si>
    <t>Encabezado 4</t>
  </si>
  <si>
    <t>Énfasis1</t>
  </si>
  <si>
    <t>Énfasis2</t>
  </si>
  <si>
    <t>Énfasis3</t>
  </si>
  <si>
    <t>Énfasis4</t>
  </si>
  <si>
    <t>Énfasis5</t>
  </si>
  <si>
    <t>Énfasis6</t>
  </si>
  <si>
    <t>Entrada</t>
  </si>
  <si>
    <t>Hipervínculo ícono:-</t>
  </si>
  <si>
    <t>Hipervínculo Texto:-</t>
  </si>
  <si>
    <t>Incorrecto</t>
  </si>
  <si>
    <t>Comma</t>
  </si>
  <si>
    <t>Comma [0]</t>
  </si>
  <si>
    <t>Currency</t>
  </si>
  <si>
    <t>Currency [0]</t>
  </si>
  <si>
    <t>Neutral</t>
  </si>
  <si>
    <t>Notas</t>
  </si>
  <si>
    <t>P. año:-</t>
  </si>
  <si>
    <t>P. fecha hora:-</t>
  </si>
  <si>
    <t>P. fecha:-</t>
  </si>
  <si>
    <t>P. indicador número:-</t>
  </si>
  <si>
    <t>P. moneda:-</t>
  </si>
  <si>
    <t>P. múltiplo:-</t>
  </si>
  <si>
    <t>P. número:-</t>
  </si>
  <si>
    <t>P. porcentaje:-</t>
  </si>
  <si>
    <t>Percent</t>
  </si>
  <si>
    <t>Q1. pres total1:-</t>
  </si>
  <si>
    <t>Q2. pres total2:-</t>
  </si>
  <si>
    <t>Q3. pres subtotal:-</t>
  </si>
  <si>
    <t>S. año:-</t>
  </si>
  <si>
    <t>S. columna :-</t>
  </si>
  <si>
    <t>S. fecha hora:-</t>
  </si>
  <si>
    <t>S. fecha:-</t>
  </si>
  <si>
    <t>S. indicador número:-</t>
  </si>
  <si>
    <t>S. moneda:-</t>
  </si>
  <si>
    <t>S. múltiplo:-</t>
  </si>
  <si>
    <t>S. número:-</t>
  </si>
  <si>
    <t>S. porcentaje:-</t>
  </si>
  <si>
    <t>S. texto:-</t>
  </si>
  <si>
    <t>Salida</t>
  </si>
  <si>
    <t>T. título1:-</t>
  </si>
  <si>
    <t>T. título2:-</t>
  </si>
  <si>
    <t>T. título3:-</t>
  </si>
  <si>
    <t>T. título4:-</t>
  </si>
  <si>
    <t>T. título5:-</t>
  </si>
  <si>
    <t>Texto de advertencia</t>
  </si>
  <si>
    <t>Texto explicativo</t>
  </si>
  <si>
    <t>Título</t>
  </si>
  <si>
    <t>Título 2</t>
  </si>
  <si>
    <t>Título 3</t>
  </si>
  <si>
    <t>Total</t>
  </si>
  <si>
    <t>App configuration sheet</t>
  </si>
  <si>
    <t>Do not delete</t>
  </si>
  <si>
    <t>Worksheets and attributes</t>
  </si>
  <si>
    <t>CodeName</t>
  </si>
  <si>
    <t>Name</t>
  </si>
  <si>
    <t>PreventDeletion</t>
  </si>
  <si>
    <t>Nombres</t>
  </si>
  <si>
    <t>Comentarios</t>
  </si>
  <si>
    <t>Acciones generales</t>
  </si>
  <si>
    <t>Titulo</t>
  </si>
  <si>
    <t>Acción predeterminada</t>
  </si>
  <si>
    <t>Valor VBA</t>
  </si>
  <si>
    <t>LIS_AccionGeneral_Titulo</t>
  </si>
  <si>
    <t>Agregar</t>
  </si>
  <si>
    <t>Copiar</t>
  </si>
  <si>
    <t>Copiar valor(es) actual(es)</t>
  </si>
  <si>
    <t>Eliminar</t>
  </si>
  <si>
    <t>Dejar en blanco</t>
  </si>
  <si>
    <t>Listar</t>
  </si>
  <si>
    <t>Modificar</t>
  </si>
  <si>
    <t>Reemplazar</t>
  </si>
  <si>
    <t>Reemplazar con predeterminado</t>
  </si>
  <si>
    <t>Restaurar</t>
  </si>
  <si>
    <t>Restaurar anterior</t>
  </si>
  <si>
    <t>Acciones plantilla</t>
  </si>
  <si>
    <t>LIS_AccionPlantilla_Titulo</t>
  </si>
  <si>
    <t>Denominación</t>
  </si>
  <si>
    <t>Factor conversión</t>
  </si>
  <si>
    <t>Conversión</t>
  </si>
  <si>
    <t>Descripción</t>
  </si>
  <si>
    <t>LIS_Fact_Conv</t>
  </si>
  <si>
    <t>LI_Denom_Conv</t>
  </si>
  <si>
    <t>COP</t>
  </si>
  <si>
    <t>pesos colombianos</t>
  </si>
  <si>
    <t>COP 000</t>
  </si>
  <si>
    <t>miles de pesos colombianos</t>
  </si>
  <si>
    <t>COP MM</t>
  </si>
  <si>
    <t>millones de pesos colombianos</t>
  </si>
  <si>
    <t>COP MM 000</t>
  </si>
  <si>
    <t>miles de millones de pesos colombianos</t>
  </si>
  <si>
    <t>Módulos</t>
  </si>
  <si>
    <t>Nombre hoja VBA</t>
  </si>
  <si>
    <t>Nombre hoja</t>
  </si>
  <si>
    <t>LIS_Modulo_NombreVBA</t>
  </si>
  <si>
    <t>LI_Modulo_Nombre</t>
  </si>
  <si>
    <t>LI_Modulo_Titulo</t>
  </si>
  <si>
    <t>InOr</t>
  </si>
  <si>
    <t>Ingresos de actividades ordinarias</t>
  </si>
  <si>
    <t>CoOp</t>
  </si>
  <si>
    <t>Costos operacionales</t>
  </si>
  <si>
    <t>GaOp</t>
  </si>
  <si>
    <t>Gastos operacionales</t>
  </si>
  <si>
    <t>OInGa</t>
  </si>
  <si>
    <t>Otros ingresos y gastos</t>
  </si>
  <si>
    <t>Creditos</t>
  </si>
  <si>
    <t>Créditos</t>
  </si>
  <si>
    <t>InGaFi</t>
  </si>
  <si>
    <t>Ingresos y gastos financieros</t>
  </si>
  <si>
    <t>CapEx</t>
  </si>
  <si>
    <t>Activos fijos</t>
  </si>
  <si>
    <t>Imptos</t>
  </si>
  <si>
    <t>Impuestos</t>
  </si>
  <si>
    <t>ER</t>
  </si>
  <si>
    <t>Estado de resultados</t>
  </si>
  <si>
    <t>CapTra</t>
  </si>
  <si>
    <t>Capital de trabajo</t>
  </si>
  <si>
    <t>ActPas</t>
  </si>
  <si>
    <t>Activos y pasivos</t>
  </si>
  <si>
    <t>ESF</t>
  </si>
  <si>
    <t>Estado de situación financiera</t>
  </si>
  <si>
    <t>FCmi</t>
  </si>
  <si>
    <t>Flujo de caja método indirecto</t>
  </si>
  <si>
    <t>Calc_Hist</t>
  </si>
  <si>
    <t>Cálculos históricos</t>
  </si>
  <si>
    <t>Sobregiros</t>
  </si>
  <si>
    <t>Nombres de meses</t>
  </si>
  <si>
    <t>Nombre mes</t>
  </si>
  <si>
    <t>Número mes</t>
  </si>
  <si>
    <t>LIS_ST_Meses_Nombres</t>
  </si>
  <si>
    <t>enero</t>
  </si>
  <si>
    <t>febrero</t>
  </si>
  <si>
    <t>marzo</t>
  </si>
  <si>
    <t>abril</t>
  </si>
  <si>
    <t>mayo</t>
  </si>
  <si>
    <t>junio</t>
  </si>
  <si>
    <t>julio</t>
  </si>
  <si>
    <t>agosto</t>
  </si>
  <si>
    <t>septiembre</t>
  </si>
  <si>
    <t>octubre</t>
  </si>
  <si>
    <t>noviembre</t>
  </si>
  <si>
    <t>diciembre</t>
  </si>
  <si>
    <t>Nombres pestañas personalizadas en cinta de opciones</t>
  </si>
  <si>
    <t>Nombre</t>
  </si>
  <si>
    <t>ID cinta de opciones</t>
  </si>
  <si>
    <t>LIS_PestanaCinOpciones_Nombre</t>
  </si>
  <si>
    <t>Desarrollo</t>
  </si>
  <si>
    <t>tabArchivoDesarrollo</t>
  </si>
  <si>
    <t>tabTools</t>
  </si>
  <si>
    <t>Modelo financiero</t>
  </si>
  <si>
    <t>tabModFin</t>
  </si>
  <si>
    <t>Opciones Si / No</t>
  </si>
  <si>
    <t>Opción</t>
  </si>
  <si>
    <t>Valor</t>
  </si>
  <si>
    <t>LIS_Opcion_SiNo</t>
  </si>
  <si>
    <t>LIS_Opcion_Si</t>
  </si>
  <si>
    <t>LIS_Opcion_No</t>
  </si>
  <si>
    <t>Períodos en período</t>
  </si>
  <si>
    <t>Períodos</t>
  </si>
  <si>
    <t>LIS_Meses_En_Ano</t>
  </si>
  <si>
    <t>LIS_Dias_En_Ano</t>
  </si>
  <si>
    <t>Tipos de objetos de Excel</t>
  </si>
  <si>
    <t>Tipo</t>
  </si>
  <si>
    <t>LIS_TipoObjetoExcel_Tipo</t>
  </si>
  <si>
    <t>Nombre de rango</t>
  </si>
  <si>
    <t>Unit test</t>
  </si>
  <si>
    <t>Tipos de resumen para reportes</t>
  </si>
  <si>
    <t>Medida</t>
  </si>
  <si>
    <t>MedidaID</t>
  </si>
  <si>
    <t>Período</t>
  </si>
  <si>
    <t>Acumulado</t>
  </si>
  <si>
    <t>Tipo de versión (desarrollo)</t>
  </si>
  <si>
    <t>LIS_Version_Desarrollo</t>
  </si>
  <si>
    <t>Alpha</t>
  </si>
  <si>
    <t>Beta</t>
  </si>
  <si>
    <t>Candidata</t>
  </si>
  <si>
    <t>15/11/2019 12:52:32 p. m.</t>
  </si>
  <si>
    <t>15/11/2019 12:52:33 p. m.</t>
  </si>
  <si>
    <t>AppWorkbook_Template.xlsm</t>
  </si>
  <si>
    <t>15/11/2019 1:12:00 p. m.</t>
  </si>
  <si>
    <t>15/11/2019 1:12:01 p. m.</t>
  </si>
  <si>
    <t>15/11/2019 1:29:55 p. m.</t>
  </si>
  <si>
    <t>AppMacros</t>
  </si>
  <si>
    <t>15/11/2019 2:50:43 p. m.</t>
  </si>
  <si>
    <t>(en blanco)</t>
  </si>
  <si>
    <t>Column1</t>
  </si>
  <si>
    <t>Índice</t>
  </si>
  <si>
    <t>15/11/2019 7:06:50 p. m.</t>
  </si>
  <si>
    <t>TestQuery</t>
  </si>
  <si>
    <t>Encabezado 1 2</t>
  </si>
  <si>
    <t>Énfasis1 2</t>
  </si>
  <si>
    <t>Énfasis2 2</t>
  </si>
  <si>
    <t>Énfasis3 2</t>
  </si>
  <si>
    <t>Énfasis6 2</t>
  </si>
  <si>
    <t>Normal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</si>
</sst>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0_);\(###0\);_(&quot;-&quot;_);_)@_)"/>
    <numFmt numFmtId="165" formatCode="_)d\-mmm\-yy\ h:mm_);_)d\-mmm\-yy\ h:mm_);_)&quot;-&quot;_);_)@_)"/>
    <numFmt numFmtId="166" formatCode="_)d\-mmm\-yy_);_)d\-mmm\-yy_);_)&quot;-&quot;_);_)@_)"/>
    <numFmt numFmtId="167" formatCode="_(#,##0.00_);\(#,##0.00\);_(&quot;-&quot;_);_)@_)"/>
    <numFmt numFmtId="168" formatCode="_(&quot;$&quot;#,##0.0_);\(&quot;$&quot;#,##0.0\);_(&quot;-&quot;_);_)@_)"/>
    <numFmt numFmtId="169" formatCode="_(#,##0.0\x_);\(#,##0.0\x\);_(&quot;-&quot;_);_)@_)"/>
    <numFmt numFmtId="170" formatCode="_(#,##0.0_);\(#,##0.0\);_(&quot;-&quot;_);_)@_)"/>
    <numFmt numFmtId="171" formatCode="_(#,##0.00%_);\(#,##0.00%\);_(&quot;-&quot;_);_)@_)"/>
    <numFmt numFmtId="172" formatCode="_(#,##0.0%_);\(#,##0.0%\);_(&quot;-&quot;_);_)@_)"/>
    <numFmt numFmtId="173" formatCode="_(* #,##0.000_);_(* \(#,##0.000\);_(* &quot;-&quot;??_);_(@_)"/>
    <numFmt numFmtId="174" formatCode="_(#,##0_);\(#,##0\);_(#,##0_);_)@_)"/>
  </numFmts>
  <fonts count="29" x14ac:knownFonts="1">
    <font>
      <sz val="11"/>
      <color theme="1"/>
      <name val="Calibri"/>
      <family val="2"/>
      <scheme val="minor"/>
    </font>
    <font>
      <b/>
      <sz val="13"/>
      <color theme="3"/>
      <name val="Calibri"/>
      <family val="2"/>
      <scheme val="minor"/>
    </font>
    <font>
      <b/>
      <sz val="11"/>
      <color theme="1"/>
      <name val="Calibri"/>
      <family val="2"/>
      <scheme val="minor"/>
    </font>
    <font>
      <sz val="9"/>
      <color theme="1" tint="0.24994659260841701"/>
      <name val="Calibri"/>
      <family val="2"/>
      <scheme val="minor"/>
    </font>
    <font>
      <sz val="9"/>
      <color theme="6" tint="-0.24994659260841701"/>
      <name val="Calibri"/>
      <family val="2"/>
      <scheme val="minor"/>
    </font>
    <font>
      <sz val="9"/>
      <color theme="4" tint="-0.49995422223578601"/>
      <name val="Calibri"/>
      <family val="2"/>
      <scheme val="minor"/>
    </font>
    <font>
      <sz val="9"/>
      <color theme="8" tint="-0.24994659260841701"/>
      <name val="Calibri"/>
      <family val="2"/>
      <scheme val="minor"/>
    </font>
    <font>
      <b/>
      <sz val="10"/>
      <color theme="1"/>
      <name val="Calibri"/>
      <family val="2"/>
      <scheme val="minor"/>
    </font>
    <font>
      <b/>
      <sz val="9"/>
      <color theme="1"/>
      <name val="Calibri"/>
      <family val="2"/>
      <scheme val="minor"/>
    </font>
    <font>
      <sz val="10"/>
      <color theme="0"/>
      <name val="Trebuchet MS"/>
      <family val="2"/>
    </font>
    <font>
      <sz val="9"/>
      <color theme="0"/>
      <name val="Calibri"/>
      <family val="2"/>
      <scheme val="minor"/>
    </font>
    <font>
      <b/>
      <sz val="10"/>
      <color theme="1"/>
      <name val="Calibri Light"/>
      <family val="2"/>
      <scheme val="major"/>
    </font>
    <font>
      <sz val="10"/>
      <color theme="1"/>
      <name val="Calibri Light"/>
      <family val="2"/>
      <scheme val="major"/>
    </font>
    <font>
      <b/>
      <sz val="11"/>
      <color theme="5" tint="-0.499984740745262"/>
      <name val="Calibri Light"/>
      <family val="2"/>
      <scheme val="major"/>
    </font>
    <font>
      <b/>
      <sz val="10"/>
      <color theme="5" tint="-0.24994659260841701"/>
      <name val="Calibri Light"/>
      <family val="2"/>
      <scheme val="major"/>
    </font>
    <font>
      <b/>
      <sz val="9"/>
      <color theme="1" tint="0.24994659260841701"/>
      <name val="Calibri Light"/>
      <family val="2"/>
      <scheme val="major"/>
    </font>
    <font>
      <b/>
      <sz val="9"/>
      <color theme="2" tint="-0.499984740745262"/>
      <name val="Calibri Light"/>
      <family val="2"/>
      <scheme val="major"/>
    </font>
    <font>
      <sz val="9"/>
      <color theme="2" tint="-0.499984740745262"/>
      <name val="Calibri Light"/>
      <family val="2"/>
      <scheme val="major"/>
    </font>
    <font>
      <sz val="9"/>
      <color theme="11"/>
      <name val="Wingdings"/>
      <charset val="2"/>
    </font>
    <font>
      <u/>
      <sz val="9"/>
      <color theme="11"/>
      <name val="Calibri"/>
      <family val="2"/>
      <scheme val="minor"/>
    </font>
    <font>
      <b/>
      <sz val="14"/>
      <color theme="1" tint="0.24994659260841701"/>
      <name val="Calibri Light"/>
      <family val="2"/>
      <scheme val="major"/>
    </font>
    <font>
      <b/>
      <sz val="12"/>
      <color theme="1" tint="0.24994659260841701"/>
      <name val="Calibri Light"/>
      <family val="2"/>
      <scheme val="major"/>
    </font>
    <font>
      <b/>
      <sz val="10"/>
      <color theme="1" tint="0.24994659260841701"/>
      <name val="Calibri Light"/>
      <family val="2"/>
      <scheme val="major"/>
    </font>
    <font>
      <b/>
      <sz val="9"/>
      <color theme="4" tint="-0.49995422223578601"/>
      <name val="Calibri Light"/>
      <family val="2"/>
      <scheme val="major"/>
    </font>
    <font>
      <sz val="9"/>
      <color theme="0"/>
      <name val="Calibri Light"/>
      <family val="2"/>
      <scheme val="major"/>
    </font>
    <font>
      <b/>
      <sz val="9"/>
      <color indexed="81"/>
      <name val="Tahoma"/>
      <family val="2"/>
    </font>
    <font>
      <sz val="9"/>
      <color indexed="81"/>
      <name val="Tahoma"/>
      <family val="2"/>
    </font>
    <font>
      <b/>
      <sz val="15"/>
      <color theme="3"/>
      <name val="Calibri"/>
      <family val="2"/>
      <scheme val="minor"/>
    </font>
    <font>
      <sz val="11"/>
      <color theme="0"/>
      <name val="Calibri"/>
      <family val="2"/>
      <scheme val="minor"/>
    </font>
  </fonts>
  <fills count="16">
    <fill>
      <patternFill patternType="none"/>
    </fill>
    <fill>
      <patternFill patternType="gray125"/>
    </fill>
    <fill>
      <patternFill patternType="solid">
        <fgColor theme="4"/>
      </patternFill>
    </fill>
    <fill>
      <patternFill patternType="solid">
        <fgColor theme="5"/>
      </patternFill>
    </fill>
    <fill>
      <patternFill patternType="solid">
        <fgColor theme="6"/>
      </patternFill>
    </fill>
    <fill>
      <patternFill patternType="solid">
        <fgColor theme="9"/>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1" tint="0.34998626667073579"/>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4" tint="0.39994506668294322"/>
        <bgColor indexed="64"/>
      </patternFill>
    </fill>
    <fill>
      <patternFill patternType="solid">
        <fgColor theme="0" tint="-4.9989318521683403E-2"/>
        <bgColor indexed="64"/>
      </patternFill>
    </fill>
    <fill>
      <patternFill patternType="solid">
        <fgColor theme="4"/>
        <bgColor indexed="64"/>
      </patternFill>
    </fill>
  </fills>
  <borders count="16">
    <border>
      <left/>
      <right/>
      <top/>
      <bottom/>
      <diagonal/>
    </border>
    <border>
      <left/>
      <right/>
      <top/>
      <bottom style="thick">
        <color theme="4"/>
      </bottom>
      <diagonal/>
    </border>
    <border>
      <left/>
      <right/>
      <top style="thin">
        <color theme="4"/>
      </top>
      <bottom style="double">
        <color theme="4"/>
      </bottom>
      <diagonal/>
    </border>
    <border>
      <left style="thin">
        <color theme="6" tint="0.39994506668294322"/>
      </left>
      <right style="thin">
        <color theme="6" tint="0.39994506668294322"/>
      </right>
      <top style="thin">
        <color theme="6" tint="0.39994506668294322"/>
      </top>
      <bottom style="thin">
        <color theme="6" tint="0.39994506668294322"/>
      </bottom>
      <diagonal/>
    </border>
    <border>
      <left style="thin">
        <color theme="5" tint="0.39994506668294322"/>
      </left>
      <right style="thin">
        <color theme="5" tint="0.39994506668294322"/>
      </right>
      <top style="thin">
        <color theme="5" tint="0.39994506668294322"/>
      </top>
      <bottom style="thin">
        <color theme="5" tint="0.399945066682943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right/>
      <top style="thin">
        <color theme="4"/>
      </top>
      <bottom/>
      <diagonal/>
    </border>
    <border>
      <left/>
      <right/>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top/>
      <bottom style="thin">
        <color theme="4" tint="-0.4999542222357860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s>
  <cellStyleXfs count="64">
    <xf numFmtId="0" fontId="0" fillId="0" borderId="0"/>
    <xf numFmtId="0" fontId="3" fillId="0" borderId="0"/>
    <xf numFmtId="0" fontId="1" fillId="0" borderId="1" applyNumberFormat="0" applyFill="0" applyAlignment="0" applyProtection="0"/>
    <xf numFmtId="164" fontId="3" fillId="0" borderId="0" applyFill="0" applyBorder="0">
      <alignment vertical="center"/>
    </xf>
    <xf numFmtId="165" fontId="3" fillId="0" borderId="0" applyFill="0" applyBorder="0">
      <alignment vertical="center"/>
    </xf>
    <xf numFmtId="166" fontId="3" fillId="0" borderId="0" applyFill="0" applyBorder="0">
      <alignment vertical="center"/>
    </xf>
    <xf numFmtId="167" fontId="3" fillId="0" borderId="0" applyFill="0" applyBorder="0">
      <alignment vertical="center"/>
    </xf>
    <xf numFmtId="168" fontId="3" fillId="0" borderId="0" applyFill="0" applyBorder="0">
      <alignment vertical="center"/>
    </xf>
    <xf numFmtId="169" fontId="3" fillId="0" borderId="0" applyFill="0" applyBorder="0">
      <alignment vertical="center"/>
    </xf>
    <xf numFmtId="170" fontId="3" fillId="0" borderId="0" applyFill="0" applyBorder="0">
      <alignment vertical="center"/>
    </xf>
    <xf numFmtId="171" fontId="3" fillId="0" borderId="0" applyFill="0" applyBorder="0">
      <alignment vertical="center"/>
    </xf>
    <xf numFmtId="0" fontId="3" fillId="6" borderId="0" applyNumberFormat="0" applyBorder="0">
      <alignment vertical="top"/>
    </xf>
    <xf numFmtId="0" fontId="4" fillId="7" borderId="3" applyNumberFormat="0">
      <alignment vertical="center"/>
    </xf>
    <xf numFmtId="0" fontId="5" fillId="8" borderId="4" applyNumberFormat="0">
      <alignment vertical="center"/>
      <protection locked="0"/>
    </xf>
    <xf numFmtId="0" fontId="6" fillId="9" borderId="5" applyNumberFormat="0">
      <alignment vertical="center"/>
    </xf>
    <xf numFmtId="0" fontId="2" fillId="0" borderId="2" applyNumberFormat="0" applyFill="0" applyAlignment="0" applyProtection="0"/>
    <xf numFmtId="0" fontId="7" fillId="0" borderId="2" applyFill="0" applyAlignment="0" applyProtection="0"/>
    <xf numFmtId="0" fontId="8" fillId="0" borderId="6" applyNumberFormat="0" applyFill="0" applyAlignment="0" applyProtection="0"/>
    <xf numFmtId="0" fontId="9" fillId="10" borderId="0" applyBorder="0">
      <alignment vertical="center"/>
    </xf>
    <xf numFmtId="0" fontId="10" fillId="10" borderId="0" applyBorder="0">
      <alignment vertical="center"/>
    </xf>
    <xf numFmtId="0" fontId="11" fillId="11" borderId="7" applyAlignment="0"/>
    <xf numFmtId="0" fontId="12" fillId="11" borderId="7" applyAlignment="0"/>
    <xf numFmtId="0" fontId="13" fillId="0" borderId="0" applyBorder="0">
      <alignment vertical="center"/>
    </xf>
    <xf numFmtId="0" fontId="14" fillId="0" borderId="0">
      <alignment vertical="center"/>
    </xf>
    <xf numFmtId="0" fontId="15" fillId="0" borderId="0" applyFill="0" applyBorder="0">
      <alignment vertical="center"/>
    </xf>
    <xf numFmtId="0" fontId="16" fillId="0" borderId="0" applyFill="0" applyBorder="0">
      <alignment vertical="center"/>
    </xf>
    <xf numFmtId="0" fontId="17" fillId="0" borderId="0" applyFill="0" applyBorder="0">
      <alignment vertical="center"/>
    </xf>
    <xf numFmtId="0" fontId="18" fillId="0" borderId="0" applyFill="0" applyBorder="0">
      <alignment horizontal="center" vertical="center"/>
    </xf>
    <xf numFmtId="0" fontId="19" fillId="0" borderId="0" applyFill="0" applyBorder="0">
      <alignment vertical="center"/>
    </xf>
    <xf numFmtId="164" fontId="3" fillId="0" borderId="0" applyFill="0" applyBorder="0">
      <alignment vertical="center"/>
    </xf>
    <xf numFmtId="165" fontId="3" fillId="0" borderId="0" applyFill="0" applyBorder="0">
      <alignment vertical="center"/>
    </xf>
    <xf numFmtId="166" fontId="3" fillId="0" borderId="0" applyFill="0" applyBorder="0">
      <alignment vertical="center"/>
    </xf>
    <xf numFmtId="167" fontId="3" fillId="0" borderId="0" applyFill="0" applyBorder="0">
      <alignment vertical="center"/>
    </xf>
    <xf numFmtId="168" fontId="3" fillId="0" borderId="0" applyFill="0" applyBorder="0">
      <alignment vertical="center"/>
    </xf>
    <xf numFmtId="169" fontId="3" fillId="0" borderId="0" applyFill="0" applyBorder="0">
      <alignment vertical="center"/>
    </xf>
    <xf numFmtId="170" fontId="3" fillId="0" borderId="0" applyFill="0" applyBorder="0">
      <alignment vertical="center"/>
    </xf>
    <xf numFmtId="172" fontId="3" fillId="0" borderId="0" applyFill="0" applyBorder="0">
      <alignment vertical="center"/>
    </xf>
    <xf numFmtId="0" fontId="2" fillId="0" borderId="2" applyFill="0" applyAlignment="0" applyProtection="0"/>
    <xf numFmtId="0" fontId="7" fillId="0" borderId="2" applyFill="0" applyAlignment="0" applyProtection="0"/>
    <xf numFmtId="0" fontId="8" fillId="0" borderId="6" applyFill="0" applyAlignment="0" applyProtection="0"/>
    <xf numFmtId="164" fontId="5" fillId="12" borderId="8">
      <alignment vertical="center"/>
      <protection locked="0"/>
    </xf>
    <xf numFmtId="0" fontId="10" fillId="13" borderId="9">
      <alignment vertical="center"/>
    </xf>
    <xf numFmtId="165" fontId="5" fillId="12" borderId="8">
      <alignment vertical="center"/>
      <protection locked="0"/>
    </xf>
    <xf numFmtId="166" fontId="5" fillId="12" borderId="8">
      <alignment vertical="center"/>
      <protection locked="0"/>
    </xf>
    <xf numFmtId="167" fontId="3" fillId="12" borderId="10">
      <alignment vertical="center"/>
    </xf>
    <xf numFmtId="168" fontId="5" fillId="12" borderId="8">
      <alignment vertical="center"/>
      <protection locked="0"/>
    </xf>
    <xf numFmtId="169" fontId="5" fillId="12" borderId="8">
      <alignment vertical="center"/>
      <protection locked="0"/>
    </xf>
    <xf numFmtId="170" fontId="5" fillId="12" borderId="8">
      <alignment vertical="center"/>
      <protection locked="0"/>
    </xf>
    <xf numFmtId="171" fontId="5" fillId="12" borderId="8">
      <alignment vertical="center"/>
      <protection locked="0"/>
    </xf>
    <xf numFmtId="0" fontId="5" fillId="12" borderId="8">
      <alignment vertical="center"/>
      <protection locked="0"/>
    </xf>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20" fillId="0" borderId="0" applyFill="0" applyBorder="0">
      <alignment vertical="center"/>
    </xf>
    <xf numFmtId="0" fontId="21" fillId="0" borderId="0" applyFill="0" applyBorder="0">
      <alignment vertical="center"/>
    </xf>
    <xf numFmtId="0" fontId="22" fillId="0" borderId="0" applyFill="0" applyBorder="0">
      <alignment vertical="center"/>
    </xf>
    <xf numFmtId="0" fontId="23" fillId="14" borderId="11">
      <alignment vertical="center"/>
    </xf>
    <xf numFmtId="0" fontId="24" fillId="15" borderId="0" applyBorder="0">
      <alignment vertical="center"/>
    </xf>
    <xf numFmtId="0" fontId="27" fillId="0" borderId="1" applyNumberFormat="0" applyFill="0" applyAlignment="0" applyProtection="0"/>
    <xf numFmtId="0" fontId="28" fillId="2" borderId="0" applyNumberFormat="0" applyBorder="0" applyAlignment="0" applyProtection="0"/>
    <xf numFmtId="0" fontId="28" fillId="3" borderId="0" applyNumberFormat="0" applyBorder="0" applyAlignment="0" applyProtection="0"/>
    <xf numFmtId="0" fontId="28" fillId="4" borderId="0" applyNumberFormat="0" applyBorder="0" applyAlignment="0" applyProtection="0"/>
    <xf numFmtId="0" fontId="28" fillId="5" borderId="0" applyNumberFormat="0" applyBorder="0" applyAlignment="0" applyProtection="0"/>
  </cellStyleXfs>
  <cellXfs count="73">
    <xf numFmtId="0" fontId="0" fillId="0" borderId="0" xfId="0"/>
    <xf numFmtId="0" fontId="3" fillId="0" borderId="0" xfId="1"/>
    <xf numFmtId="0" fontId="3" fillId="0" borderId="0" xfId="1" applyAlignment="1">
      <alignment horizontal="center"/>
    </xf>
    <xf numFmtId="164" fontId="3" fillId="0" borderId="0" xfId="3">
      <alignment vertical="center"/>
    </xf>
    <xf numFmtId="165" fontId="3" fillId="0" borderId="0" xfId="4">
      <alignment vertical="center"/>
    </xf>
    <xf numFmtId="166" fontId="3" fillId="0" borderId="0" xfId="5">
      <alignment vertical="center"/>
    </xf>
    <xf numFmtId="167" fontId="3" fillId="0" borderId="0" xfId="6">
      <alignment vertical="center"/>
    </xf>
    <xf numFmtId="168" fontId="3" fillId="0" borderId="0" xfId="7">
      <alignment vertical="center"/>
    </xf>
    <xf numFmtId="169" fontId="3" fillId="0" borderId="0" xfId="8">
      <alignment vertical="center"/>
    </xf>
    <xf numFmtId="170" fontId="3" fillId="0" borderId="0" xfId="9">
      <alignment vertical="center"/>
    </xf>
    <xf numFmtId="171" fontId="3" fillId="0" borderId="0" xfId="10">
      <alignment vertical="center"/>
    </xf>
    <xf numFmtId="0" fontId="3" fillId="6" borderId="0" xfId="11">
      <alignment vertical="top"/>
    </xf>
    <xf numFmtId="0" fontId="4" fillId="7" borderId="3" xfId="12">
      <alignment vertical="center"/>
    </xf>
    <xf numFmtId="0" fontId="5" fillId="8" borderId="4" xfId="13">
      <alignment vertical="center"/>
      <protection locked="0"/>
    </xf>
    <xf numFmtId="0" fontId="6" fillId="9" borderId="5" xfId="14">
      <alignment vertical="center"/>
    </xf>
    <xf numFmtId="0" fontId="2" fillId="0" borderId="2" xfId="15"/>
    <xf numFmtId="0" fontId="7" fillId="0" borderId="2" xfId="16"/>
    <xf numFmtId="0" fontId="8" fillId="0" borderId="6" xfId="17"/>
    <xf numFmtId="0" fontId="9" fillId="10" borderId="0" xfId="18">
      <alignment vertical="center"/>
    </xf>
    <xf numFmtId="0" fontId="10" fillId="10" borderId="0" xfId="19">
      <alignment vertical="center"/>
    </xf>
    <xf numFmtId="0" fontId="11" fillId="11" borderId="7" xfId="20"/>
    <xf numFmtId="0" fontId="12" fillId="11" borderId="7" xfId="21"/>
    <xf numFmtId="0" fontId="13" fillId="0" borderId="0" xfId="22">
      <alignment vertical="center"/>
    </xf>
    <xf numFmtId="0" fontId="14" fillId="0" borderId="0" xfId="23">
      <alignment vertical="center"/>
    </xf>
    <xf numFmtId="0" fontId="15" fillId="0" borderId="0" xfId="24">
      <alignment vertical="center"/>
    </xf>
    <xf numFmtId="0" fontId="16" fillId="0" borderId="0" xfId="25">
      <alignment vertical="center"/>
    </xf>
    <xf numFmtId="0" fontId="17" fillId="0" borderId="0" xfId="26">
      <alignment vertical="center"/>
    </xf>
    <xf numFmtId="0" fontId="18" fillId="0" borderId="0" xfId="27">
      <alignment horizontal="center" vertical="center"/>
    </xf>
    <xf numFmtId="0" fontId="19" fillId="0" borderId="0" xfId="28">
      <alignment vertical="center"/>
    </xf>
    <xf numFmtId="164" fontId="3" fillId="0" borderId="0" xfId="29">
      <alignment vertical="center"/>
    </xf>
    <xf numFmtId="165" fontId="3" fillId="0" borderId="0" xfId="30">
      <alignment vertical="center"/>
    </xf>
    <xf numFmtId="166" fontId="3" fillId="0" borderId="0" xfId="31">
      <alignment vertical="center"/>
    </xf>
    <xf numFmtId="167" fontId="3" fillId="0" borderId="0" xfId="32">
      <alignment vertical="center"/>
    </xf>
    <xf numFmtId="168" fontId="3" fillId="0" borderId="0" xfId="33">
      <alignment vertical="center"/>
    </xf>
    <xf numFmtId="169" fontId="3" fillId="0" borderId="0" xfId="34">
      <alignment vertical="center"/>
    </xf>
    <xf numFmtId="170" fontId="3" fillId="0" borderId="0" xfId="35">
      <alignment vertical="center"/>
    </xf>
    <xf numFmtId="172" fontId="3" fillId="0" borderId="0" xfId="36">
      <alignment vertical="center"/>
    </xf>
    <xf numFmtId="0" fontId="2" fillId="0" borderId="2" xfId="37"/>
    <xf numFmtId="0" fontId="7" fillId="0" borderId="2" xfId="38"/>
    <xf numFmtId="0" fontId="8" fillId="0" borderId="6" xfId="39"/>
    <xf numFmtId="164" fontId="5" fillId="12" borderId="8" xfId="40">
      <alignment vertical="center"/>
      <protection locked="0"/>
    </xf>
    <xf numFmtId="0" fontId="10" fillId="13" borderId="9" xfId="41">
      <alignment vertical="center"/>
    </xf>
    <xf numFmtId="165" fontId="5" fillId="12" borderId="8" xfId="42">
      <alignment vertical="center"/>
      <protection locked="0"/>
    </xf>
    <xf numFmtId="166" fontId="5" fillId="12" borderId="8" xfId="43">
      <alignment vertical="center"/>
      <protection locked="0"/>
    </xf>
    <xf numFmtId="167" fontId="3" fillId="12" borderId="10" xfId="44">
      <alignment vertical="center"/>
    </xf>
    <xf numFmtId="168" fontId="5" fillId="12" borderId="8" xfId="45">
      <alignment vertical="center"/>
      <protection locked="0"/>
    </xf>
    <xf numFmtId="169" fontId="5" fillId="12" borderId="8" xfId="46">
      <alignment vertical="center"/>
      <protection locked="0"/>
    </xf>
    <xf numFmtId="170" fontId="5" fillId="12" borderId="8" xfId="47">
      <alignment vertical="center"/>
      <protection locked="0"/>
    </xf>
    <xf numFmtId="171" fontId="5" fillId="12" borderId="8" xfId="48">
      <alignment vertical="center"/>
      <protection locked="0"/>
    </xf>
    <xf numFmtId="0" fontId="5" fillId="12" borderId="8" xfId="49">
      <alignment vertical="center"/>
      <protection locked="0"/>
    </xf>
    <xf numFmtId="0" fontId="3" fillId="0" borderId="0" xfId="1" applyAlignment="1" applyProtection="1">
      <alignment vertical="top"/>
      <protection locked="0"/>
    </xf>
    <xf numFmtId="0" fontId="3" fillId="0" borderId="0" xfId="1" applyProtection="1">
      <protection locked="0"/>
    </xf>
    <xf numFmtId="0" fontId="20" fillId="0" borderId="0" xfId="54">
      <alignment vertical="center"/>
    </xf>
    <xf numFmtId="0" fontId="21" fillId="0" borderId="0" xfId="55">
      <alignment vertical="center"/>
    </xf>
    <xf numFmtId="0" fontId="22" fillId="0" borderId="0" xfId="56">
      <alignment vertical="center"/>
    </xf>
    <xf numFmtId="0" fontId="23" fillId="14" borderId="11" xfId="57">
      <alignment vertical="center"/>
    </xf>
    <xf numFmtId="0" fontId="24" fillId="15" borderId="0" xfId="58">
      <alignment vertical="center"/>
    </xf>
    <xf numFmtId="0" fontId="23" fillId="14" borderId="11" xfId="57" applyProtection="1">
      <alignment vertical="center"/>
      <protection locked="0"/>
    </xf>
    <xf numFmtId="0" fontId="3" fillId="0" borderId="12" xfId="1" applyBorder="1" applyProtection="1">
      <protection locked="0"/>
    </xf>
    <xf numFmtId="0" fontId="3" fillId="0" borderId="13" xfId="1" applyBorder="1" applyProtection="1">
      <protection locked="0"/>
    </xf>
    <xf numFmtId="174" fontId="3" fillId="0" borderId="0" xfId="1" applyNumberFormat="1" applyAlignment="1" applyProtection="1">
      <alignment horizontal="left" vertical="center"/>
      <protection locked="0"/>
    </xf>
    <xf numFmtId="0" fontId="3" fillId="0" borderId="14" xfId="1" applyBorder="1" applyProtection="1">
      <protection locked="0"/>
    </xf>
    <xf numFmtId="0" fontId="3" fillId="0" borderId="15" xfId="1" applyBorder="1" applyProtection="1">
      <protection locked="0"/>
    </xf>
    <xf numFmtId="0" fontId="0" fillId="0" borderId="0" xfId="0" pivotButton="1"/>
    <xf numFmtId="0" fontId="0" fillId="0" borderId="0" xfId="0" applyAlignment="1">
      <alignment horizontal="left"/>
    </xf>
    <xf numFmtId="173" fontId="0" fillId="0" borderId="0" xfId="0" applyNumberFormat="1"/>
    <xf numFmtId="0" fontId="0" fillId="0" borderId="0" xfId="0" applyAlignment="1">
      <alignment horizontal="left" indent="1"/>
    </xf>
    <xf numFmtId="0" fontId="0" fillId="0" borderId="0" xfId="0" applyProtection="1">
      <protection locked="0"/>
    </xf>
    <xf numFmtId="0" fontId="27" fillId="0" borderId="1" xfId="59"/>
    <xf numFmtId="0" fontId="28" fillId="2" borderId="0" xfId="60"/>
    <xf numFmtId="0" fontId="28" fillId="3" borderId="0" xfId="61"/>
    <xf numFmtId="0" fontId="28" fillId="4" borderId="0" xfId="62"/>
    <xf numFmtId="0" fontId="28" fillId="5" borderId="0" xfId="63"/>
  </cellXfs>
  <cellStyles count="64">
    <cellStyle name="A. año:-" xfId="3" xr:uid="{41E4E658-BC04-4107-9967-8B4136F0B953}"/>
    <cellStyle name="A. fecha hora:-" xfId="4" xr:uid="{41A85C6E-059F-45DE-A4B5-F8A0E923A9BB}"/>
    <cellStyle name="A. fecha:-" xfId="5" xr:uid="{91F17036-DA06-47DD-991E-E357D7BAE2AB}"/>
    <cellStyle name="A. indicador número:-" xfId="6" xr:uid="{7AAE464D-EE14-4B2A-82A2-34F37B5F9B8A}"/>
    <cellStyle name="A. moneda:-" xfId="7" xr:uid="{22C6F176-417B-4651-B7C6-F1FB53F4431B}"/>
    <cellStyle name="A. múltiplo:-" xfId="8" xr:uid="{CE519DB1-A4F0-4203-95A7-5F096FD25DB2}"/>
    <cellStyle name="A. número:-" xfId="9" xr:uid="{C82C38C9-4F4B-4C8D-90CC-10F878628F04}"/>
    <cellStyle name="A. porcentaje:-" xfId="10" xr:uid="{1AD1E7BE-7EB7-4260-82E2-2E7152D95F3E}"/>
    <cellStyle name="B1. anotación:-" xfId="11" xr:uid="{07C64208-7384-452D-B6D3-4CB785A88745}"/>
    <cellStyle name="B2. cálculo interno:-" xfId="12" xr:uid="{80F8DA26-5735-42DB-ACBB-72587442E14F}"/>
    <cellStyle name="B3. parámetro interno:-" xfId="13" xr:uid="{0892A592-F308-46F0-A924-0A05DD61C67E}"/>
    <cellStyle name="B4. resultado interno:-" xfId="14" xr:uid="{E1CF3565-3941-488E-9C61-D726C93A87E3}"/>
    <cellStyle name="C1. total1:-" xfId="15" xr:uid="{7DA185CD-80EA-46D2-A623-BF1773C325AD}"/>
    <cellStyle name="C2. total2:-" xfId="16" xr:uid="{1BE4DFB6-BF50-472E-8E1E-2691FF2BD4D1}"/>
    <cellStyle name="C3. subtotal:-" xfId="17" xr:uid="{496A4BAA-7160-4027-ABE2-ADE0DDD1E40D}"/>
    <cellStyle name="D. enc glo1:-" xfId="18" xr:uid="{1C87B9EF-4F1E-4DE5-9B27-3348DD97894F}"/>
    <cellStyle name="D. enc glo2:-" xfId="19" xr:uid="{770ABB42-A651-4CE3-99B2-2008697442C4}"/>
    <cellStyle name="E. enc tabla1:-" xfId="20" xr:uid="{21E7E6FD-C91E-422E-B5E9-A3507D0856CE}"/>
    <cellStyle name="E. enc tabla2:-" xfId="21" xr:uid="{F9522A33-EBEE-44D0-9E7F-1E8E43ABA05A}"/>
    <cellStyle name="E. enc1:-" xfId="22" xr:uid="{36D295E8-21E5-47D0-85C2-0085A8846593}"/>
    <cellStyle name="E. enc2:-" xfId="23" xr:uid="{2067397A-292F-4811-B06F-1EB572FCCAD4}"/>
    <cellStyle name="E. enc3:-" xfId="24" xr:uid="{625FBFC2-6431-4192-9DCF-189B74A38CAD}"/>
    <cellStyle name="E. enc4:-" xfId="25" xr:uid="{522932B5-839E-4E50-987B-3A797188EBB3}"/>
    <cellStyle name="E. enc5:-" xfId="26" xr:uid="{7DCD39D7-9B46-4B99-B75B-B2E71315B3ED}"/>
    <cellStyle name="Encabezado 1" xfId="59" builtinId="16"/>
    <cellStyle name="Encabezado 1 2" xfId="2" xr:uid="{643935B7-6A50-41FF-9439-A29561902D55}"/>
    <cellStyle name="Énfasis1" xfId="60" builtinId="29"/>
    <cellStyle name="Énfasis1 2" xfId="50" xr:uid="{ECCD7D3F-9525-428A-8BB1-122194EA5130}"/>
    <cellStyle name="Énfasis2" xfId="61" builtinId="33"/>
    <cellStyle name="Énfasis2 2" xfId="51" xr:uid="{2B6B634C-2CA6-4AE2-8534-82C8FF551822}"/>
    <cellStyle name="Énfasis3" xfId="62" builtinId="37"/>
    <cellStyle name="Énfasis3 2" xfId="52" xr:uid="{D58543C1-C472-443A-9BCF-4F7B267A580C}"/>
    <cellStyle name="Énfasis6" xfId="63" builtinId="49"/>
    <cellStyle name="Énfasis6 2" xfId="53" xr:uid="{41B242B5-36E8-43F8-B06F-351677A70589}"/>
    <cellStyle name="Hipervínculo ícono:-" xfId="27" xr:uid="{83927216-9348-4104-8070-8DAE067A2C8B}"/>
    <cellStyle name="Hipervínculo Texto:-" xfId="28" xr:uid="{C939C61A-31E3-40BF-88F5-6500FCCB748E}"/>
    <cellStyle name="Normal" xfId="0" builtinId="0"/>
    <cellStyle name="Normal 2" xfId="1" xr:uid="{DA01587A-EC5B-4931-B7FF-A9D99E3EFFE7}"/>
    <cellStyle name="P. año:-" xfId="29" xr:uid="{5439E3D8-2614-4663-8190-6485E8E31748}"/>
    <cellStyle name="P. fecha hora:-" xfId="30" xr:uid="{743C7B3C-8021-4240-B370-13A01694BF3E}"/>
    <cellStyle name="P. fecha:-" xfId="31" xr:uid="{8B12DA1A-1BF7-4AF1-B52A-A41376623CEE}"/>
    <cellStyle name="P. indicador número:-" xfId="32" xr:uid="{58F25465-61D0-44C9-8EEE-444E6E959997}"/>
    <cellStyle name="P. moneda:-" xfId="33" xr:uid="{9137790A-A4F0-44D3-AB34-44EE815B0E40}"/>
    <cellStyle name="P. múltiplo:-" xfId="34" xr:uid="{4DD924F0-C0B1-4057-A6D1-553AA3AAEA14}"/>
    <cellStyle name="P. número:-" xfId="35" xr:uid="{52DC698D-E5AA-412A-9A95-B4F8688E7010}"/>
    <cellStyle name="P. porcentaje:-" xfId="36" xr:uid="{DF1B41AF-393D-46EE-B28A-1599945DFEBE}"/>
    <cellStyle name="Q1. pres total1:-" xfId="37" xr:uid="{5A1AE699-BE35-481F-BB26-29BDCEAECED1}"/>
    <cellStyle name="Q2. pres total2:-" xfId="38" xr:uid="{34F418EB-E299-47EC-AD6C-34ACE0B40047}"/>
    <cellStyle name="Q3. pres subtotal:-" xfId="39" xr:uid="{3DF13625-F963-4D78-BACC-145BBC147E6E}"/>
    <cellStyle name="S. año:-" xfId="40" xr:uid="{4D22DB98-886D-4100-9881-4A29520BC3AE}"/>
    <cellStyle name="S. columna :-" xfId="41" xr:uid="{4043A72E-DC7D-4C3F-8FBD-DD8B49172242}"/>
    <cellStyle name="S. fecha hora:-" xfId="42" xr:uid="{CC4CE49F-A017-40E0-A733-B2990274F64E}"/>
    <cellStyle name="S. fecha:-" xfId="43" xr:uid="{558F46CE-E437-4FA9-B0AE-5B4EB6395188}"/>
    <cellStyle name="S. indicador número:-" xfId="44" xr:uid="{6155B14D-D9FC-4396-94F2-F00ABBA5EF68}"/>
    <cellStyle name="S. moneda:-" xfId="45" xr:uid="{D7256FFC-E47C-4DE7-96B2-5E17EA29909E}"/>
    <cellStyle name="S. múltiplo:-" xfId="46" xr:uid="{D90FEE87-0878-4D08-9C26-196D763776D5}"/>
    <cellStyle name="S. número:-" xfId="47" xr:uid="{5A592C7B-1274-4AD7-B9A8-AE731169AA5E}"/>
    <cellStyle name="S. porcentaje:-" xfId="48" xr:uid="{2FF05A3D-4161-4A08-B039-658C6412A497}"/>
    <cellStyle name="S. texto:-" xfId="49" xr:uid="{28F80FEF-E0B2-4A69-9A8A-9736FE694BF6}"/>
    <cellStyle name="T. título1:-" xfId="54" xr:uid="{A8B8435F-EF4F-41A3-B518-FDE918E33818}"/>
    <cellStyle name="T. título2:-" xfId="55" xr:uid="{5E1EADB4-0C5E-437D-B5FD-7CBEE02C9FAE}"/>
    <cellStyle name="T. título3:-" xfId="56" xr:uid="{69DE63D6-9AF1-4F27-B4C5-1569BED96D9A}"/>
    <cellStyle name="T. título4:-" xfId="58" xr:uid="{0AD02364-8164-4B61-AA4B-CCE5D696828D}"/>
    <cellStyle name="T. título5:-" xfId="57" xr:uid="{35D0B8F3-6F1E-48FF-97A8-57A2A9AC3F41}"/>
  </cellStyles>
  <dxfs count="72">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left" vertical="center" textRotation="0" wrapText="0" indent="0" justifyLastLine="0" shrinkToFit="0" readingOrder="0"/>
      <protection locked="0" hidden="0"/>
    </dxf>
    <dxf>
      <border diagonalUp="0" diagonalDown="0" outline="0">
        <left style="thin">
          <color indexed="64"/>
        </left>
        <right/>
        <top style="thin">
          <color indexed="64"/>
        </top>
        <bottom style="thin">
          <color indexed="64"/>
        </bottom>
      </border>
      <protection locked="0" hidden="0"/>
    </dxf>
    <dxf>
      <border diagonalUp="0" diagonalDown="0" outline="0">
        <left/>
        <right style="thin">
          <color indexed="64"/>
        </right>
        <top style="thin">
          <color indexed="64"/>
        </top>
        <bottom style="thin">
          <color indexed="64"/>
        </bottom>
      </border>
      <protection locked="0" hidden="0"/>
    </dxf>
    <dxf>
      <protection locked="0" hidden="0"/>
    </dxf>
    <dxf>
      <protection locked="0" hidden="0"/>
    </dxf>
    <dxf>
      <protection locked="0" hidden="0"/>
    </dxf>
    <dxf>
      <border diagonalUp="0" diagonalDown="0" outline="0">
        <left style="thin">
          <color indexed="64"/>
        </left>
        <right/>
        <top style="thin">
          <color indexed="64"/>
        </top>
        <bottom style="thin">
          <color indexed="64"/>
        </bottom>
      </border>
      <protection locked="0" hidden="0"/>
    </dxf>
    <dxf>
      <border diagonalUp="0" diagonalDown="0" outline="0">
        <left/>
        <right style="thin">
          <color indexed="64"/>
        </right>
        <top style="thin">
          <color indexed="64"/>
        </top>
        <bottom style="thin">
          <color indexed="64"/>
        </bottom>
      </border>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1" hidden="0"/>
    </dxf>
    <dxf>
      <protection locked="1" hidden="0"/>
    </dxf>
    <dxf>
      <alignment horizontal="center" vertical="bottom" textRotation="0" wrapText="0" indent="0" justifyLastLine="0" shrinkToFit="0" readingOrder="0"/>
      <protection locked="1" hidden="0"/>
    </dxf>
    <dxf>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bottom"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protection locked="0" hidden="0"/>
    </dxf>
    <dxf>
      <alignment horizontal="general" vertical="top" textRotation="0" wrapText="0" indent="0" justifyLastLine="0" shrinkToFit="0" readingOrder="0"/>
      <protection locked="0" hidden="0"/>
    </dxf>
    <dxf>
      <numFmt numFmtId="173" formatCode="_(* #,##0.000_);_(* \(#,##0.00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4</xdr:col>
      <xdr:colOff>95250</xdr:colOff>
      <xdr:row>0</xdr:row>
      <xdr:rowOff>142875</xdr:rowOff>
    </xdr:from>
    <xdr:to>
      <xdr:col>5</xdr:col>
      <xdr:colOff>361950</xdr:colOff>
      <xdr:row>5</xdr:row>
      <xdr:rowOff>180975</xdr:rowOff>
    </xdr:to>
    <mc:AlternateContent xmlns:mc="http://schemas.openxmlformats.org/markup-compatibility/2006" xmlns:a14="http://schemas.microsoft.com/office/drawing/2010/main">
      <mc:Choice Requires="a14">
        <xdr:graphicFrame macro="">
          <xdr:nvGraphicFramePr>
            <xdr:cNvPr id="4" name="Tipo de objeto">
              <a:extLst>
                <a:ext uri="{FF2B5EF4-FFF2-40B4-BE49-F238E27FC236}">
                  <a16:creationId xmlns:a16="http://schemas.microsoft.com/office/drawing/2014/main" id="{F4527894-54E4-4885-811E-45950219580B}"/>
                </a:ext>
              </a:extLst>
            </xdr:cNvPr>
            <xdr:cNvGraphicFramePr/>
          </xdr:nvGraphicFramePr>
          <xdr:xfrm>
            <a:off x="0" y="0"/>
            <a:ext cx="0" cy="0"/>
          </xdr:xfrm>
          <a:graphic>
            <a:graphicData uri="http://schemas.microsoft.com/office/drawing/2010/slicer">
              <sle:slicer xmlns:sle="http://schemas.microsoft.com/office/drawing/2010/slicer" name="Tipo de objeto"/>
            </a:graphicData>
          </a:graphic>
        </xdr:graphicFrame>
      </mc:Choice>
      <mc:Fallback xmlns="">
        <xdr:sp macro="" textlink="">
          <xdr:nvSpPr>
            <xdr:cNvPr id="0" name=""/>
            <xdr:cNvSpPr>
              <a:spLocks noTextEdit="1"/>
            </xdr:cNvSpPr>
          </xdr:nvSpPr>
          <xdr:spPr>
            <a:xfrm>
              <a:off x="5314950" y="142875"/>
              <a:ext cx="1828800" cy="83820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ardo Diaz" refreshedDate="43784.796417013888" createdVersion="6" refreshedVersion="6" minRefreshableVersion="3" recordCount="103" xr:uid="{6230FC42-8401-47D0-8896-33522CB112F4}">
  <cacheSource type="worksheet">
    <worksheetSource name="TablaRegistroApp"/>
  </cacheSource>
  <cacheFields count="12">
    <cacheField name="Fecha" numFmtId="0">
      <sharedItems count="12">
        <s v="14/11/2019 10:38:43 p. m."/>
        <s v="14/11/2019 10:38:50 p. m."/>
        <s v="14/11/2019 10:47:27 p. m."/>
        <s v="14/11/2019 10:48:09 p. m."/>
        <s v="15/11/2019 10:30:44 a. m."/>
        <s v="15/11/2019 12:52:32 p. m."/>
        <s v="15/11/2019 12:52:33 p. m."/>
        <s v="15/11/2019 1:12:00 p. m."/>
        <s v="15/11/2019 1:12:01 p. m."/>
        <s v="15/11/2019 1:29:55 p. m."/>
        <s v="15/11/2019 2:50:43 p. m."/>
        <s v="15/11/2019 7:06:50 p. m."/>
      </sharedItems>
    </cacheField>
    <cacheField name="Logger" numFmtId="0">
      <sharedItems/>
    </cacheField>
    <cacheField name="Nivel" numFmtId="0">
      <sharedItems count="2">
        <s v="PERFORMANCE"/>
        <s v="ERROR"/>
      </sharedItems>
    </cacheField>
    <cacheField name="Usuario" numFmtId="0">
      <sharedItems/>
    </cacheField>
    <cacheField name="Versión" numFmtId="0">
      <sharedItems/>
    </cacheField>
    <cacheField name="Evento" numFmtId="0">
      <sharedItems count="2">
        <s v="Rendimiento"/>
        <s v="AppMacros"/>
      </sharedItems>
    </cacheField>
    <cacheField name="Tipo de objeto" numFmtId="0">
      <sharedItems containsBlank="1" count="3">
        <s v="Sheet"/>
        <s v="Workbook"/>
        <m/>
      </sharedItems>
    </cacheField>
    <cacheField name="Nombre de objeto" numFmtId="0">
      <sharedItems containsBlank="1" count="15">
        <s v="ReporteEstilos"/>
        <s v="Plantilla"/>
        <s v="SampleQuery"/>
        <s v="Parametros"/>
        <s v="Configuracion"/>
        <s v="Rendimiento"/>
        <s v="Registros"/>
        <s v="Estilos"/>
        <s v="AppConfig"/>
        <s v="Listados"/>
        <s v="TemplateWorkbook.xlsm"/>
        <s v="Portada"/>
        <s v="AppWorkbook_Template.xlsm"/>
        <m/>
        <s v="TestQuery"/>
      </sharedItems>
    </cacheField>
    <cacheField name="Parámetros" numFmtId="0">
      <sharedItems containsBlank="1"/>
    </cacheField>
    <cacheField name="Ajustes" numFmtId="0">
      <sharedItems containsBlank="1" longText="1"/>
    </cacheField>
    <cacheField name="Tiempo transcurrido" numFmtId="0">
      <sharedItems containsSemiMixedTypes="0" containsString="0" containsNumber="1" minValue="0" maxValue="8.7913999999999994"/>
    </cacheField>
    <cacheField name="Detalles" numFmtId="0">
      <sharedItems containsBlank="1"/>
    </cacheField>
  </cacheFields>
  <extLst>
    <ext xmlns:x14="http://schemas.microsoft.com/office/spreadsheetml/2009/9/main" uri="{725AE2AE-9491-48be-B2B4-4EB974FC3084}">
      <x14:pivotCacheDefinition pivotCacheId="7142105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
  <r>
    <x v="0"/>
    <s v="AppInfoLogger"/>
    <x v="0"/>
    <s v="Ricardo Diaz"/>
    <s v="06|05|11"/>
    <x v="0"/>
    <x v="0"/>
    <x v="0"/>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8529999999999999"/>
    <m/>
  </r>
  <r>
    <x v="0"/>
    <s v="AppInfoLogger"/>
    <x v="0"/>
    <s v="Ricardo Diaz"/>
    <s v="06|05|11"/>
    <x v="0"/>
    <x v="0"/>
    <x v="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4199999999999999"/>
    <m/>
  </r>
  <r>
    <x v="0"/>
    <s v="AppInfoLogger"/>
    <x v="0"/>
    <s v="Ricardo Diaz"/>
    <s v="06|05|11"/>
    <x v="0"/>
    <x v="0"/>
    <x v="2"/>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595"/>
    <m/>
  </r>
  <r>
    <x v="0"/>
    <s v="AppInfoLogger"/>
    <x v="0"/>
    <s v="Ricardo Diaz"/>
    <s v="06|05|11"/>
    <x v="0"/>
    <x v="0"/>
    <x v="3"/>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4899999999999999"/>
    <m/>
  </r>
  <r>
    <x v="0"/>
    <s v="AppInfoLogger"/>
    <x v="0"/>
    <s v="Ricardo Diaz"/>
    <s v="06|05|11"/>
    <x v="0"/>
    <x v="0"/>
    <x v="4"/>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7480000000000001"/>
    <m/>
  </r>
  <r>
    <x v="0"/>
    <s v="AppInfoLogger"/>
    <x v="0"/>
    <s v="Ricardo Diaz"/>
    <s v="06|05|11"/>
    <x v="0"/>
    <x v="0"/>
    <x v="5"/>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5329999999999999"/>
    <m/>
  </r>
  <r>
    <x v="0"/>
    <s v="AppInfoLogger"/>
    <x v="0"/>
    <s v="Ricardo Diaz"/>
    <s v="06|05|11"/>
    <x v="0"/>
    <x v="0"/>
    <x v="6"/>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424"/>
    <m/>
  </r>
  <r>
    <x v="0"/>
    <s v="AppInfoLogger"/>
    <x v="0"/>
    <s v="Ricardo Diaz"/>
    <s v="06|05|11"/>
    <x v="0"/>
    <x v="0"/>
    <x v="7"/>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588"/>
    <m/>
  </r>
  <r>
    <x v="0"/>
    <s v="AppInfoLogger"/>
    <x v="0"/>
    <s v="Ricardo Diaz"/>
    <s v="06|05|11"/>
    <x v="0"/>
    <x v="0"/>
    <x v="8"/>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547"/>
    <m/>
  </r>
  <r>
    <x v="0"/>
    <s v="AppInfoLogger"/>
    <x v="0"/>
    <s v="Ricardo Diaz"/>
    <s v="06|05|11"/>
    <x v="0"/>
    <x v="0"/>
    <x v="9"/>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5629999999999999"/>
    <m/>
  </r>
  <r>
    <x v="0"/>
    <s v="AppInfoLogger"/>
    <x v="0"/>
    <s v="Ricardo Diaz"/>
    <s v="06|05|11"/>
    <x v="0"/>
    <x v="1"/>
    <x v="10"/>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8149999999999999"/>
    <m/>
  </r>
  <r>
    <x v="1"/>
    <s v="AppInfoLogger"/>
    <x v="0"/>
    <s v="Ricardo Diaz"/>
    <s v="06|05|11"/>
    <x v="0"/>
    <x v="0"/>
    <x v="0"/>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9.2999999999999999E-2"/>
    <m/>
  </r>
  <r>
    <x v="1"/>
    <s v="AppInfoLogger"/>
    <x v="0"/>
    <s v="Ricardo Diaz"/>
    <s v="06|05|11"/>
    <x v="0"/>
    <x v="0"/>
    <x v="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762"/>
    <m/>
  </r>
  <r>
    <x v="1"/>
    <s v="AppInfoLogger"/>
    <x v="0"/>
    <s v="Ricardo Diaz"/>
    <s v="06|05|11"/>
    <x v="0"/>
    <x v="0"/>
    <x v="2"/>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3100000000000001"/>
    <m/>
  </r>
  <r>
    <x v="1"/>
    <s v="AppInfoLogger"/>
    <x v="0"/>
    <s v="Ricardo Diaz"/>
    <s v="06|05|11"/>
    <x v="0"/>
    <x v="0"/>
    <x v="3"/>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6300000000000001"/>
    <m/>
  </r>
  <r>
    <x v="1"/>
    <s v="AppInfoLogger"/>
    <x v="0"/>
    <s v="Ricardo Diaz"/>
    <s v="06|05|11"/>
    <x v="0"/>
    <x v="0"/>
    <x v="4"/>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8260000000000001"/>
    <m/>
  </r>
  <r>
    <x v="1"/>
    <s v="AppInfoLogger"/>
    <x v="0"/>
    <s v="Ricardo Diaz"/>
    <s v="06|05|11"/>
    <x v="0"/>
    <x v="0"/>
    <x v="5"/>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419"/>
    <m/>
  </r>
  <r>
    <x v="1"/>
    <s v="AppInfoLogger"/>
    <x v="0"/>
    <s v="Ricardo Diaz"/>
    <s v="06|05|11"/>
    <x v="0"/>
    <x v="0"/>
    <x v="6"/>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4169999999999999"/>
    <m/>
  </r>
  <r>
    <x v="1"/>
    <s v="AppInfoLogger"/>
    <x v="0"/>
    <s v="Ricardo Diaz"/>
    <s v="06|05|11"/>
    <x v="0"/>
    <x v="0"/>
    <x v="7"/>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2379999999999999"/>
    <m/>
  </r>
  <r>
    <x v="1"/>
    <s v="AppInfoLogger"/>
    <x v="0"/>
    <s v="Ricardo Diaz"/>
    <s v="06|05|11"/>
    <x v="0"/>
    <x v="0"/>
    <x v="8"/>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3400000000000001"/>
    <m/>
  </r>
  <r>
    <x v="1"/>
    <s v="AppInfoLogger"/>
    <x v="0"/>
    <s v="Ricardo Diaz"/>
    <s v="06|05|11"/>
    <x v="0"/>
    <x v="0"/>
    <x v="9"/>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6520000000000001"/>
    <m/>
  </r>
  <r>
    <x v="1"/>
    <s v="AppInfoLogger"/>
    <x v="0"/>
    <s v="Ricardo Diaz"/>
    <s v="06|05|11"/>
    <x v="0"/>
    <x v="1"/>
    <x v="10"/>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3689999999999999"/>
    <m/>
  </r>
  <r>
    <x v="2"/>
    <s v="AppInfoLogger"/>
    <x v="0"/>
    <s v="Ricardo Diaz"/>
    <s v="06|05|11"/>
    <x v="0"/>
    <x v="0"/>
    <x v="1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416"/>
    <m/>
  </r>
  <r>
    <x v="2"/>
    <s v="AppInfoLogger"/>
    <x v="0"/>
    <s v="Ricardo Diaz"/>
    <s v="06|05|11"/>
    <x v="0"/>
    <x v="0"/>
    <x v="0"/>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585"/>
    <m/>
  </r>
  <r>
    <x v="2"/>
    <s v="AppInfoLogger"/>
    <x v="0"/>
    <s v="Ricardo Diaz"/>
    <s v="06|05|11"/>
    <x v="0"/>
    <x v="0"/>
    <x v="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59150000000000003"/>
    <m/>
  </r>
  <r>
    <x v="2"/>
    <s v="AppInfoLogger"/>
    <x v="0"/>
    <s v="Ricardo Diaz"/>
    <s v="06|05|11"/>
    <x v="0"/>
    <x v="0"/>
    <x v="2"/>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6900000000000001"/>
    <m/>
  </r>
  <r>
    <x v="2"/>
    <s v="AppInfoLogger"/>
    <x v="0"/>
    <s v="Ricardo Diaz"/>
    <s v="06|05|11"/>
    <x v="0"/>
    <x v="0"/>
    <x v="3"/>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706"/>
    <m/>
  </r>
  <r>
    <x v="2"/>
    <s v="AppInfoLogger"/>
    <x v="0"/>
    <s v="Ricardo Diaz"/>
    <s v="06|05|11"/>
    <x v="0"/>
    <x v="0"/>
    <x v="4"/>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5620000000000001"/>
    <m/>
  </r>
  <r>
    <x v="2"/>
    <s v="AppInfoLogger"/>
    <x v="0"/>
    <s v="Ricardo Diaz"/>
    <s v="06|05|11"/>
    <x v="0"/>
    <x v="0"/>
    <x v="5"/>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1.4075"/>
    <m/>
  </r>
  <r>
    <x v="2"/>
    <s v="AppInfoLogger"/>
    <x v="0"/>
    <s v="Ricardo Diaz"/>
    <s v="06|05|11"/>
    <x v="0"/>
    <x v="0"/>
    <x v="6"/>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167"/>
    <m/>
  </r>
  <r>
    <x v="2"/>
    <s v="AppInfoLogger"/>
    <x v="0"/>
    <s v="Ricardo Diaz"/>
    <s v="06|05|11"/>
    <x v="0"/>
    <x v="0"/>
    <x v="7"/>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6189999999999999"/>
    <m/>
  </r>
  <r>
    <x v="2"/>
    <s v="AppInfoLogger"/>
    <x v="0"/>
    <s v="Ricardo Diaz"/>
    <s v="06|05|11"/>
    <x v="0"/>
    <x v="0"/>
    <x v="8"/>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81859999999999999"/>
    <m/>
  </r>
  <r>
    <x v="2"/>
    <s v="AppInfoLogger"/>
    <x v="0"/>
    <s v="Ricardo Diaz"/>
    <s v="06|05|11"/>
    <x v="0"/>
    <x v="0"/>
    <x v="9"/>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777"/>
    <m/>
  </r>
  <r>
    <x v="2"/>
    <s v="AppInfoLogger"/>
    <x v="0"/>
    <s v="Ricardo Diaz"/>
    <s v="06|05|11"/>
    <x v="0"/>
    <x v="1"/>
    <x v="10"/>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27"/>
    <m/>
  </r>
  <r>
    <x v="3"/>
    <s v="AppInfoLogger"/>
    <x v="0"/>
    <s v="Ricardo Diaz"/>
    <s v="06|05|11"/>
    <x v="0"/>
    <x v="0"/>
    <x v="1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34150000000000003"/>
    <m/>
  </r>
  <r>
    <x v="3"/>
    <s v="AppInfoLogger"/>
    <x v="0"/>
    <s v="Ricardo Diaz"/>
    <s v="06|05|11"/>
    <x v="0"/>
    <x v="0"/>
    <x v="0"/>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359"/>
    <m/>
  </r>
  <r>
    <x v="3"/>
    <s v="AppInfoLogger"/>
    <x v="0"/>
    <s v="Ricardo Diaz"/>
    <s v="06|05|11"/>
    <x v="0"/>
    <x v="0"/>
    <x v="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615"/>
    <m/>
  </r>
  <r>
    <x v="3"/>
    <s v="AppInfoLogger"/>
    <x v="0"/>
    <s v="Ricardo Diaz"/>
    <s v="06|05|11"/>
    <x v="0"/>
    <x v="0"/>
    <x v="2"/>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895"/>
    <m/>
  </r>
  <r>
    <x v="3"/>
    <s v="AppInfoLogger"/>
    <x v="0"/>
    <s v="Ricardo Diaz"/>
    <s v="06|05|11"/>
    <x v="0"/>
    <x v="0"/>
    <x v="3"/>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3250000000000001"/>
    <m/>
  </r>
  <r>
    <x v="3"/>
    <s v="AppInfoLogger"/>
    <x v="0"/>
    <s v="Ricardo Diaz"/>
    <s v="06|05|11"/>
    <x v="0"/>
    <x v="0"/>
    <x v="4"/>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6719999999999999"/>
    <m/>
  </r>
  <r>
    <x v="3"/>
    <s v="AppInfoLogger"/>
    <x v="0"/>
    <s v="Ricardo Diaz"/>
    <s v="06|05|11"/>
    <x v="0"/>
    <x v="0"/>
    <x v="5"/>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0960000000000001"/>
    <m/>
  </r>
  <r>
    <x v="3"/>
    <s v="AppInfoLogger"/>
    <x v="0"/>
    <s v="Ricardo Diaz"/>
    <s v="06|05|11"/>
    <x v="0"/>
    <x v="0"/>
    <x v="6"/>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915"/>
    <m/>
  </r>
  <r>
    <x v="3"/>
    <s v="AppInfoLogger"/>
    <x v="0"/>
    <s v="Ricardo Diaz"/>
    <s v="06|05|11"/>
    <x v="0"/>
    <x v="0"/>
    <x v="7"/>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3899999999999999"/>
    <m/>
  </r>
  <r>
    <x v="3"/>
    <s v="AppInfoLogger"/>
    <x v="0"/>
    <s v="Ricardo Diaz"/>
    <s v="06|05|11"/>
    <x v="0"/>
    <x v="0"/>
    <x v="8"/>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1010000000000001"/>
    <m/>
  </r>
  <r>
    <x v="3"/>
    <s v="AppInfoLogger"/>
    <x v="0"/>
    <s v="Ricardo Diaz"/>
    <s v="06|05|11"/>
    <x v="0"/>
    <x v="0"/>
    <x v="9"/>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8279999999999999"/>
    <m/>
  </r>
  <r>
    <x v="3"/>
    <s v="AppInfoLogger"/>
    <x v="0"/>
    <s v="Ricardo Diaz"/>
    <s v="06|05|11"/>
    <x v="0"/>
    <x v="1"/>
    <x v="10"/>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8.7913999999999994"/>
    <m/>
  </r>
  <r>
    <x v="4"/>
    <s v="AppInfoLogger"/>
    <x v="0"/>
    <s v="Ricardo Diaz"/>
    <s v="02|00|00|Candidata"/>
    <x v="0"/>
    <x v="0"/>
    <x v="1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82630000000000003"/>
    <m/>
  </r>
  <r>
    <x v="4"/>
    <s v="AppInfoLogger"/>
    <x v="0"/>
    <s v="Ricardo Diaz"/>
    <s v="02|00|00|Candidata"/>
    <x v="0"/>
    <x v="0"/>
    <x v="0"/>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3719999999999999"/>
    <m/>
  </r>
  <r>
    <x v="4"/>
    <s v="AppInfoLogger"/>
    <x v="0"/>
    <s v="Ricardo Diaz"/>
    <s v="02|00|00|Candidata"/>
    <x v="0"/>
    <x v="0"/>
    <x v="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933"/>
    <m/>
  </r>
  <r>
    <x v="4"/>
    <s v="AppInfoLogger"/>
    <x v="0"/>
    <s v="Ricardo Diaz"/>
    <s v="02|00|00|Candidata"/>
    <x v="0"/>
    <x v="0"/>
    <x v="3"/>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1210000000000001"/>
    <m/>
  </r>
  <r>
    <x v="4"/>
    <s v="AppInfoLogger"/>
    <x v="0"/>
    <s v="Ricardo Diaz"/>
    <s v="02|00|00|Candidata"/>
    <x v="0"/>
    <x v="0"/>
    <x v="4"/>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9450000000000001"/>
    <m/>
  </r>
  <r>
    <x v="4"/>
    <s v="AppInfoLogger"/>
    <x v="0"/>
    <s v="Ricardo Diaz"/>
    <s v="02|00|00|Candidata"/>
    <x v="0"/>
    <x v="0"/>
    <x v="5"/>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66349999999999998"/>
    <m/>
  </r>
  <r>
    <x v="4"/>
    <s v="AppInfoLogger"/>
    <x v="0"/>
    <s v="Ricardo Diaz"/>
    <s v="02|00|00|Candidata"/>
    <x v="0"/>
    <x v="0"/>
    <x v="6"/>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0960000000000001"/>
    <m/>
  </r>
  <r>
    <x v="4"/>
    <s v="AppInfoLogger"/>
    <x v="0"/>
    <s v="Ricardo Diaz"/>
    <s v="02|00|00|Candidata"/>
    <x v="0"/>
    <x v="0"/>
    <x v="7"/>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973"/>
    <m/>
  </r>
  <r>
    <x v="4"/>
    <s v="AppInfoLogger"/>
    <x v="0"/>
    <s v="Ricardo Diaz"/>
    <s v="02|00|00|Candidata"/>
    <x v="0"/>
    <x v="0"/>
    <x v="8"/>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4078"/>
    <m/>
  </r>
  <r>
    <x v="4"/>
    <s v="AppInfoLogger"/>
    <x v="0"/>
    <s v="Ricardo Diaz"/>
    <s v="02|00|00|Candidata"/>
    <x v="0"/>
    <x v="0"/>
    <x v="9"/>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3619999999999999"/>
    <m/>
  </r>
  <r>
    <x v="4"/>
    <s v="AppInfoLogger"/>
    <x v="0"/>
    <s v="Ricardo Diaz"/>
    <s v="02|00|00|Candidata"/>
    <x v="0"/>
    <x v="1"/>
    <x v="10"/>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2.4100999999999999"/>
    <m/>
  </r>
  <r>
    <x v="5"/>
    <s v="AppInfoLogger"/>
    <x v="0"/>
    <s v="Ricardo Diaz"/>
    <s v="05|00|00|Producción"/>
    <x v="0"/>
    <x v="0"/>
    <x v="0"/>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6331"/>
    <m/>
  </r>
  <r>
    <x v="5"/>
    <s v="AppInfoLogger"/>
    <x v="0"/>
    <s v="Ricardo Diaz"/>
    <s v="05|00|00|Producción"/>
    <x v="0"/>
    <x v="0"/>
    <x v="1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8060000000000001"/>
    <m/>
  </r>
  <r>
    <x v="5"/>
    <s v="AppInfoLogger"/>
    <x v="0"/>
    <s v="Ricardo Diaz"/>
    <s v="05|00|00|Producción"/>
    <x v="0"/>
    <x v="0"/>
    <x v="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794"/>
    <m/>
  </r>
  <r>
    <x v="5"/>
    <s v="AppInfoLogger"/>
    <x v="0"/>
    <s v="Ricardo Diaz"/>
    <s v="05|00|00|Producción"/>
    <x v="0"/>
    <x v="0"/>
    <x v="3"/>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8160000000000001"/>
    <m/>
  </r>
  <r>
    <x v="5"/>
    <s v="AppInfoLogger"/>
    <x v="0"/>
    <s v="Ricardo Diaz"/>
    <s v="05|00|00|Producción"/>
    <x v="0"/>
    <x v="0"/>
    <x v="4"/>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9320000000000001"/>
    <m/>
  </r>
  <r>
    <x v="5"/>
    <s v="AppInfoLogger"/>
    <x v="0"/>
    <s v="Ricardo Diaz"/>
    <s v="05|00|00|Producción"/>
    <x v="0"/>
    <x v="0"/>
    <x v="5"/>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739"/>
    <m/>
  </r>
  <r>
    <x v="5"/>
    <s v="AppInfoLogger"/>
    <x v="0"/>
    <s v="Ricardo Diaz"/>
    <s v="05|00|00|Producción"/>
    <x v="0"/>
    <x v="0"/>
    <x v="6"/>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7730000000000001"/>
    <m/>
  </r>
  <r>
    <x v="5"/>
    <s v="AppInfoLogger"/>
    <x v="0"/>
    <s v="Ricardo Diaz"/>
    <s v="05|00|00|Producción"/>
    <x v="0"/>
    <x v="0"/>
    <x v="7"/>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676"/>
    <m/>
  </r>
  <r>
    <x v="5"/>
    <s v="AppInfoLogger"/>
    <x v="0"/>
    <s v="Ricardo Diaz"/>
    <s v="05|00|00|Producción"/>
    <x v="0"/>
    <x v="0"/>
    <x v="8"/>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1740000000000001"/>
    <m/>
  </r>
  <r>
    <x v="5"/>
    <s v="AppInfoLogger"/>
    <x v="0"/>
    <s v="Ricardo Diaz"/>
    <s v="05|00|00|Producción"/>
    <x v="0"/>
    <x v="0"/>
    <x v="9"/>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0419999999999999"/>
    <m/>
  </r>
  <r>
    <x v="6"/>
    <s v="AppInfoLogger"/>
    <x v="0"/>
    <s v="Ricardo Diaz"/>
    <s v="05|00|00|Producción"/>
    <x v="0"/>
    <x v="1"/>
    <x v="12"/>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1.9398"/>
    <m/>
  </r>
  <r>
    <x v="7"/>
    <s v="AppInfoLogger"/>
    <x v="0"/>
    <s v="Ricardo Diaz"/>
    <s v="07|11|00|Candidata"/>
    <x v="0"/>
    <x v="0"/>
    <x v="0"/>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83450000000000002"/>
    <m/>
  </r>
  <r>
    <x v="7"/>
    <s v="AppInfoLogger"/>
    <x v="0"/>
    <s v="Ricardo Diaz"/>
    <s v="07|11|00|Candidata"/>
    <x v="0"/>
    <x v="0"/>
    <x v="1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4078"/>
    <m/>
  </r>
  <r>
    <x v="7"/>
    <s v="AppInfoLogger"/>
    <x v="0"/>
    <s v="Ricardo Diaz"/>
    <s v="07|11|00|Candidata"/>
    <x v="0"/>
    <x v="0"/>
    <x v="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49"/>
    <m/>
  </r>
  <r>
    <x v="8"/>
    <s v="AppInfoLogger"/>
    <x v="0"/>
    <s v="Ricardo Diaz"/>
    <s v="07|11|00|Candidata"/>
    <x v="0"/>
    <x v="0"/>
    <x v="3"/>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34539999999999998"/>
    <m/>
  </r>
  <r>
    <x v="8"/>
    <s v="AppInfoLogger"/>
    <x v="0"/>
    <s v="Ricardo Diaz"/>
    <s v="07|11|00|Candidata"/>
    <x v="0"/>
    <x v="0"/>
    <x v="4"/>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40310000000000001"/>
    <m/>
  </r>
  <r>
    <x v="8"/>
    <s v="AppInfoLogger"/>
    <x v="0"/>
    <s v="Ricardo Diaz"/>
    <s v="07|11|00|Candidata"/>
    <x v="0"/>
    <x v="0"/>
    <x v="5"/>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30590000000000001"/>
    <m/>
  </r>
  <r>
    <x v="8"/>
    <s v="AppInfoLogger"/>
    <x v="0"/>
    <s v="Ricardo Diaz"/>
    <s v="07|11|00|Candidata"/>
    <x v="0"/>
    <x v="0"/>
    <x v="6"/>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905"/>
    <m/>
  </r>
  <r>
    <x v="8"/>
    <s v="AppInfoLogger"/>
    <x v="0"/>
    <s v="Ricardo Diaz"/>
    <s v="07|11|00|Candidata"/>
    <x v="0"/>
    <x v="0"/>
    <x v="7"/>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374"/>
    <m/>
  </r>
  <r>
    <x v="8"/>
    <s v="AppInfoLogger"/>
    <x v="0"/>
    <s v="Ricardo Diaz"/>
    <s v="07|11|00|Candidata"/>
    <x v="0"/>
    <x v="0"/>
    <x v="8"/>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79549999999999998"/>
    <m/>
  </r>
  <r>
    <x v="8"/>
    <s v="AppInfoLogger"/>
    <x v="0"/>
    <s v="Ricardo Diaz"/>
    <s v="07|11|00|Candidata"/>
    <x v="0"/>
    <x v="0"/>
    <x v="9"/>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2450000000000001"/>
    <m/>
  </r>
  <r>
    <x v="8"/>
    <s v="AppInfoLogger"/>
    <x v="0"/>
    <s v="Ricardo Diaz"/>
    <s v="07|11|00|Candidata"/>
    <x v="0"/>
    <x v="1"/>
    <x v="12"/>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1.4567000000000001"/>
    <m/>
  </r>
  <r>
    <x v="9"/>
    <s v="AppInfoLogger"/>
    <x v="1"/>
    <s v="Ricardo Diaz"/>
    <s v="07|13|00|Producción"/>
    <x v="1"/>
    <x v="2"/>
    <x v="13"/>
    <m/>
    <m/>
    <n v="0"/>
    <s v="Error de la aplicación._x000d__x000a_Módulo: AppMacros_x000d__x000a_Procedimiento: InitAppWorkbook_x000d__x000a_Error #: 1004_x000d__x000a_Descripción: No se puede asignar la propiedad Locked de la clase Range."/>
  </r>
  <r>
    <x v="10"/>
    <s v="AppInfoLogger"/>
    <x v="0"/>
    <s v="Ricardo Diaz"/>
    <s v="09|05|00|Alfa"/>
    <x v="0"/>
    <x v="0"/>
    <x v="0"/>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2389999999999999"/>
    <m/>
  </r>
  <r>
    <x v="10"/>
    <s v="AppInfoLogger"/>
    <x v="0"/>
    <s v="Ricardo Diaz"/>
    <s v="09|05|00|Alfa"/>
    <x v="0"/>
    <x v="0"/>
    <x v="1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85"/>
    <m/>
  </r>
  <r>
    <x v="10"/>
    <s v="AppInfoLogger"/>
    <x v="0"/>
    <s v="Ricardo Diaz"/>
    <s v="09|05|00|Alfa"/>
    <x v="0"/>
    <x v="0"/>
    <x v="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7749999999999999"/>
    <m/>
  </r>
  <r>
    <x v="10"/>
    <s v="AppInfoLogger"/>
    <x v="0"/>
    <s v="Ricardo Diaz"/>
    <s v="09|05|00|Alfa"/>
    <x v="0"/>
    <x v="0"/>
    <x v="3"/>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9839999999999999"/>
    <m/>
  </r>
  <r>
    <x v="10"/>
    <s v="AppInfoLogger"/>
    <x v="0"/>
    <s v="Ricardo Diaz"/>
    <s v="09|05|00|Alfa"/>
    <x v="0"/>
    <x v="0"/>
    <x v="4"/>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2420000000000001"/>
    <m/>
  </r>
  <r>
    <x v="10"/>
    <s v="AppInfoLogger"/>
    <x v="0"/>
    <s v="Ricardo Diaz"/>
    <s v="09|05|00|Alfa"/>
    <x v="0"/>
    <x v="0"/>
    <x v="5"/>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9819999999999999"/>
    <m/>
  </r>
  <r>
    <x v="10"/>
    <s v="AppInfoLogger"/>
    <x v="0"/>
    <s v="Ricardo Diaz"/>
    <s v="09|05|00|Alfa"/>
    <x v="0"/>
    <x v="0"/>
    <x v="6"/>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724"/>
    <m/>
  </r>
  <r>
    <x v="10"/>
    <s v="AppInfoLogger"/>
    <x v="0"/>
    <s v="Ricardo Diaz"/>
    <s v="09|05|00|Alfa"/>
    <x v="0"/>
    <x v="0"/>
    <x v="7"/>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5359999999999999"/>
    <m/>
  </r>
  <r>
    <x v="10"/>
    <s v="AppInfoLogger"/>
    <x v="0"/>
    <s v="Ricardo Diaz"/>
    <s v="09|05|00|Alfa"/>
    <x v="0"/>
    <x v="0"/>
    <x v="8"/>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094"/>
    <m/>
  </r>
  <r>
    <x v="10"/>
    <s v="AppInfoLogger"/>
    <x v="0"/>
    <s v="Ricardo Diaz"/>
    <s v="09|05|00|Alfa"/>
    <x v="0"/>
    <x v="0"/>
    <x v="9"/>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5409999999999999"/>
    <m/>
  </r>
  <r>
    <x v="10"/>
    <s v="AppInfoLogger"/>
    <x v="0"/>
    <s v="Ricardo Diaz"/>
    <s v="09|05|00|Alfa"/>
    <x v="0"/>
    <x v="1"/>
    <x v="12"/>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58179999999999998"/>
    <m/>
  </r>
  <r>
    <x v="11"/>
    <s v="AppInfoLogger"/>
    <x v="0"/>
    <s v="Ricardo Diaz"/>
    <s v="10|35|00|Candidata"/>
    <x v="0"/>
    <x v="0"/>
    <x v="0"/>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4375"/>
    <m/>
  </r>
  <r>
    <x v="11"/>
    <s v="AppInfoLogger"/>
    <x v="0"/>
    <s v="Ricardo Diaz"/>
    <s v="10|35|00|Candidata"/>
    <x v="0"/>
    <x v="0"/>
    <x v="14"/>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85350000000000004"/>
    <m/>
  </r>
  <r>
    <x v="11"/>
    <s v="AppInfoLogger"/>
    <x v="0"/>
    <s v="Ricardo Diaz"/>
    <s v="10|35|00|Candidata"/>
    <x v="0"/>
    <x v="0"/>
    <x v="1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8629999999999999"/>
    <m/>
  </r>
  <r>
    <x v="11"/>
    <s v="AppInfoLogger"/>
    <x v="0"/>
    <s v="Ricardo Diaz"/>
    <s v="10|35|00|Candidata"/>
    <x v="0"/>
    <x v="0"/>
    <x v="1"/>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9159999999999999"/>
    <m/>
  </r>
  <r>
    <x v="11"/>
    <s v="AppInfoLogger"/>
    <x v="0"/>
    <s v="Ricardo Diaz"/>
    <s v="10|35|00|Candidata"/>
    <x v="0"/>
    <x v="0"/>
    <x v="3"/>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4340000000000001"/>
    <m/>
  </r>
  <r>
    <x v="11"/>
    <s v="AppInfoLogger"/>
    <x v="0"/>
    <s v="Ricardo Diaz"/>
    <s v="10|35|00|Candidata"/>
    <x v="0"/>
    <x v="0"/>
    <x v="4"/>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3899999999999999"/>
    <m/>
  </r>
  <r>
    <x v="11"/>
    <s v="AppInfoLogger"/>
    <x v="0"/>
    <s v="Ricardo Diaz"/>
    <s v="10|35|00|Candidata"/>
    <x v="0"/>
    <x v="0"/>
    <x v="5"/>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2950000000000001"/>
    <m/>
  </r>
  <r>
    <x v="11"/>
    <s v="AppInfoLogger"/>
    <x v="0"/>
    <s v="Ricardo Diaz"/>
    <s v="10|35|00|Candidata"/>
    <x v="0"/>
    <x v="0"/>
    <x v="6"/>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8160000000000001"/>
    <m/>
  </r>
  <r>
    <x v="11"/>
    <s v="AppInfoLogger"/>
    <x v="0"/>
    <s v="Ricardo Diaz"/>
    <s v="10|35|00|Candidata"/>
    <x v="0"/>
    <x v="0"/>
    <x v="7"/>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1842"/>
    <m/>
  </r>
  <r>
    <x v="11"/>
    <s v="AppInfoLogger"/>
    <x v="0"/>
    <s v="Ricardo Diaz"/>
    <s v="10|35|00|Candidata"/>
    <x v="0"/>
    <x v="0"/>
    <x v="8"/>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5180000000000002"/>
    <m/>
  </r>
  <r>
    <x v="11"/>
    <s v="AppInfoLogger"/>
    <x v="0"/>
    <s v="Ricardo Diaz"/>
    <s v="10|35|00|Candidata"/>
    <x v="0"/>
    <x v="0"/>
    <x v="9"/>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0.2762"/>
    <m/>
  </r>
  <r>
    <x v="11"/>
    <s v="AppInfoLogger"/>
    <x v="0"/>
    <s v="Ricardo Diaz"/>
    <s v="10|35|00|Candidata"/>
    <x v="0"/>
    <x v="1"/>
    <x v="12"/>
    <s v="Title=Prueba_x000d__x000a_Tags=firstTag, secondTag_x000d__x000a_Company name=Test company name_x000d__x000a_Date updated=43768_x000d__x000a_"/>
    <s v="Pestaña activa al abrir archivo=Herramientas_x000d__x000a_Cargar detalle histórico=Si_x000d__x000a_Cargar ajustes histórico=Si_x000d__x000a_Cargar buffer de Power Query=No_x000d__x000a_Ruta raiz=C:\Nube\Ofiz\Gensa Modelo Financiero 2019 - Documentos\GitHub\ModeloFinanciero_x000d__x000a_Carpeta modelo=Modelo_x000d__x000a_Carpeta fuentes de información=Fuentes de información_x000d__x000a_Carpeta fuentes de información contables=Apoteosys_x000d__x000a_Carpeta plantillas=Plantillas_x000d__x000a_Carpeta fuentes de información interno=Interno_x000d__x000a_"/>
    <n v="1.11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4F925DC-3012-49FA-B077-CDC93EEC8FB7}" name="TDAppPerformance" cacheId="8"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B8:O27" firstHeaderRow="1" firstDataRow="2" firstDataCol="1" rowPageCount="2" colPageCount="1"/>
  <pivotFields count="12">
    <pivotField axis="axisCol" showAll="0">
      <items count="13">
        <item x="0"/>
        <item x="1"/>
        <item x="2"/>
        <item x="3"/>
        <item x="4"/>
        <item x="5"/>
        <item x="6"/>
        <item x="7"/>
        <item x="8"/>
        <item x="9"/>
        <item x="10"/>
        <item x="11"/>
        <item t="default"/>
      </items>
    </pivotField>
    <pivotField showAll="0"/>
    <pivotField axis="axisPage" showAll="0">
      <items count="3">
        <item x="0"/>
        <item x="1"/>
        <item t="default"/>
      </items>
    </pivotField>
    <pivotField showAll="0"/>
    <pivotField showAll="0"/>
    <pivotField axis="axisRow" showAll="0">
      <items count="3">
        <item x="0"/>
        <item x="1"/>
        <item t="default"/>
      </items>
    </pivotField>
    <pivotField axis="axisPage" showAll="0">
      <items count="4">
        <item x="0"/>
        <item x="1"/>
        <item x="2"/>
        <item t="default"/>
      </items>
    </pivotField>
    <pivotField axis="axisRow" showAll="0">
      <items count="16">
        <item x="8"/>
        <item x="4"/>
        <item x="7"/>
        <item x="9"/>
        <item x="3"/>
        <item x="1"/>
        <item x="6"/>
        <item x="5"/>
        <item x="0"/>
        <item x="2"/>
        <item x="10"/>
        <item x="11"/>
        <item x="12"/>
        <item x="13"/>
        <item x="14"/>
        <item t="default"/>
      </items>
    </pivotField>
    <pivotField showAll="0"/>
    <pivotField showAll="0"/>
    <pivotField dataField="1" showAll="0"/>
    <pivotField showAll="0"/>
  </pivotFields>
  <rowFields count="2">
    <field x="5"/>
    <field x="7"/>
  </rowFields>
  <rowItems count="18">
    <i>
      <x/>
    </i>
    <i r="1">
      <x/>
    </i>
    <i r="1">
      <x v="1"/>
    </i>
    <i r="1">
      <x v="2"/>
    </i>
    <i r="1">
      <x v="3"/>
    </i>
    <i r="1">
      <x v="4"/>
    </i>
    <i r="1">
      <x v="5"/>
    </i>
    <i r="1">
      <x v="6"/>
    </i>
    <i r="1">
      <x v="7"/>
    </i>
    <i r="1">
      <x v="8"/>
    </i>
    <i r="1">
      <x v="9"/>
    </i>
    <i r="1">
      <x v="10"/>
    </i>
    <i r="1">
      <x v="11"/>
    </i>
    <i r="1">
      <x v="12"/>
    </i>
    <i r="1">
      <x v="14"/>
    </i>
    <i>
      <x v="1"/>
    </i>
    <i r="1">
      <x v="13"/>
    </i>
    <i t="grand">
      <x/>
    </i>
  </rowItems>
  <colFields count="1">
    <field x="0"/>
  </colFields>
  <colItems count="13">
    <i>
      <x/>
    </i>
    <i>
      <x v="1"/>
    </i>
    <i>
      <x v="2"/>
    </i>
    <i>
      <x v="3"/>
    </i>
    <i>
      <x v="4"/>
    </i>
    <i>
      <x v="5"/>
    </i>
    <i>
      <x v="6"/>
    </i>
    <i>
      <x v="7"/>
    </i>
    <i>
      <x v="8"/>
    </i>
    <i>
      <x v="9"/>
    </i>
    <i>
      <x v="10"/>
    </i>
    <i>
      <x v="11"/>
    </i>
    <i t="grand">
      <x/>
    </i>
  </colItems>
  <pageFields count="2">
    <pageField fld="2" hier="-1"/>
    <pageField fld="6" hier="-1"/>
  </pageFields>
  <dataFields count="1">
    <dataField name="Suma de Tiempo transcurrido" fld="10" baseField="0" baseItem="0" numFmtId="173"/>
  </dataFields>
  <formats count="1">
    <format dxfId="7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 xr16:uid="{AF48D2FA-0A94-4392-AC3B-CC228DFA7B65}" autoFormatId="16" applyNumberFormats="0" applyBorderFormats="0" applyFontFormats="0" applyPatternFormats="0" applyAlignmentFormats="0" applyWidthHeightFormats="0">
  <queryTableRefresh nextId="3">
    <queryTableFields count="2">
      <queryTableField id="1" name="Column1" tableColumnId="1"/>
      <queryTableField id="2" name="Índice"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e_objeto" xr10:uid="{D6DA77AD-D7AD-4F47-B498-63ED05498323}" sourceName="Tipo de objeto">
  <pivotTables>
    <pivotTable tabId="15" name="TDAppPerformance"/>
  </pivotTables>
  <data>
    <tabular pivotCacheId="714210525">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po de objeto" xr10:uid="{4DF95349-8F9D-438A-B9E2-F644C37E01F8}" cache="SegmentaciónDeDatos_Tipo_de_objeto" caption="Tipo de objeto" rowHeight="1936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2F3E524-2E3B-4AA8-B95D-AD45837CE109}" name="TestQuery" displayName="TestQuery" ref="A1:B101" tableType="queryTable" totalsRowShown="0" dataDxfId="41">
  <autoFilter ref="A1:B101" xr:uid="{7E073FD2-92C9-46B9-8954-91BFE2503B46}"/>
  <tableColumns count="2">
    <tableColumn id="1" xr3:uid="{498C87FC-EBCB-4856-A443-FFAFBD36D8BB}" uniqueName="1" name="Column1" queryTableFieldId="1" dataDxfId="43"/>
    <tableColumn id="2" xr3:uid="{D02984B5-1AD9-4AC2-84EF-365B3A4951F9}" uniqueName="2" name="Índice" queryTableFieldId="2" dataDxfId="4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91088D-EF6D-4245-A6CD-4EF6CB0AEB8A}" name="TablaRegistroApp" displayName="TablaRegistroApp" ref="F7:Q8" insertRow="1" totalsRowShown="0" dataDxfId="70">
  <autoFilter ref="F7:Q8" xr:uid="{04B1E02A-029C-4699-A34E-1A51D40E4717}"/>
  <tableColumns count="12">
    <tableColumn id="1" xr3:uid="{E5CA282E-8BD8-488C-9A83-5B573C2FFE58}" name="Fecha" dataDxfId="69"/>
    <tableColumn id="2" xr3:uid="{7BA4F181-32A0-4ED0-9F92-0B6BD1F39BE7}" name="Logger" dataDxfId="68"/>
    <tableColumn id="3" xr3:uid="{4D638F25-8B80-4C6E-A96F-5A8D3E5CBC1F}" name="Nivel" dataDxfId="67"/>
    <tableColumn id="4" xr3:uid="{D376DCD0-0D55-454B-8539-625B1FBACA76}" name="Usuario" dataDxfId="66"/>
    <tableColumn id="5" xr3:uid="{189DB9EE-5E3C-4E43-B54F-D023C98BF526}" name="Versión" dataDxfId="65"/>
    <tableColumn id="6" xr3:uid="{4C5174D0-7606-496A-AE96-87AA51513231}" name="Evento" dataDxfId="64"/>
    <tableColumn id="7" xr3:uid="{171453A8-A4DA-45BD-9728-ED6D5691275B}" name="Tipo de objeto" dataDxfId="63"/>
    <tableColumn id="8" xr3:uid="{83115A53-F067-4C23-9429-26F8DC86BC45}" name="Nombre de objeto" dataDxfId="62"/>
    <tableColumn id="9" xr3:uid="{FA3C833A-EABF-468C-B592-EF474078175D}" name="Parámetros" dataDxfId="61"/>
    <tableColumn id="10" xr3:uid="{3A77F5CB-C58B-498A-A853-5883B1436B16}" name="Ajustes" dataDxfId="60"/>
    <tableColumn id="11" xr3:uid="{6243A17B-C9FF-496B-A6EF-277192B148A4}" name="Tiempo transcurrido" dataDxfId="59"/>
    <tableColumn id="12" xr3:uid="{6FBB4529-A91A-43ED-95D8-1CCA6919D224}" name="Detalles" dataDxfId="58"/>
  </tableColumns>
  <tableStyleInfo name="TableStyleLight14" showFirstColumn="0" showLastColumn="0" showRowStripes="1"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CED871-095B-4419-9443-1A68392B4AD1}" name="TableStyleManager" displayName="TableStyleManager" ref="B5:E110" totalsRowShown="0" dataDxfId="36">
  <autoFilter ref="B5:E110" xr:uid="{956C95B6-7F1B-4BFF-A14D-5877AA22EB63}"/>
  <tableColumns count="4">
    <tableColumn id="1" xr3:uid="{5A2E63BC-F987-41AC-831E-7C9FB32C19B3}" name="Style name" dataDxfId="40"/>
    <tableColumn id="2" xr3:uid="{9997634B-764E-444B-9454-5990B579A993}" name="Type" dataDxfId="39"/>
    <tableColumn id="3" xr3:uid="{84C7500D-0844-4172-8E80-EDFB535F6CF8}" name="Action" dataDxfId="38"/>
    <tableColumn id="4" xr3:uid="{3688EA7F-2F2B-4AA4-A731-6FB4AF881E12}" name="Duplicated new style name | replace with (style name)" dataDxfId="37"/>
  </tableColumns>
  <tableStyleInfo name="TableStyleLight14" showFirstColumn="0" showLastColumn="0" showRowStripes="1"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D9BD798-68D5-4FC0-B2F8-ACC63C86355C}" name="TableStyleClass" displayName="TableStyleClass" ref="H5:I14" totalsRowShown="0" dataDxfId="33">
  <autoFilter ref="H5:I14" xr:uid="{123FFF64-C775-4803-86D3-4B93FEBB0849}"/>
  <tableColumns count="2">
    <tableColumn id="1" xr3:uid="{DD23ACCF-A373-4F9D-9F1B-8A0B3868CA3D}" name="ID" dataDxfId="35"/>
    <tableColumn id="2" xr3:uid="{B8CD7BFC-A3F8-49FF-9AB7-563442B909A9}" name="Title" dataDxfId="34"/>
  </tableColumns>
  <tableStyleInfo name="TableStyleLight14" showFirstColumn="0" showLastColumn="0" showRowStripes="1" showColumnStripes="1"/>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F8F9B05-5F26-44E2-8337-A25AE53AE950}" name="TableAppConfig" displayName="TableAppConfig" ref="A6:C7" insertRow="1" totalsRowShown="0">
  <autoFilter ref="A6:C7" xr:uid="{5D4A0A85-CC8C-458C-92CC-9E1B9CEB0B63}"/>
  <tableColumns count="3">
    <tableColumn id="1" xr3:uid="{7C7F093A-6070-441A-9091-1C28E135C876}" name="CodeName"/>
    <tableColumn id="2" xr3:uid="{E695FFB7-7145-4BB0-AF57-3DAFA9B3B681}" name="Name"/>
    <tableColumn id="3" xr3:uid="{5CF13C7E-EC7E-48D6-AA64-04BBFC910415}" name="PreventDeletion"/>
  </tableColumns>
  <tableStyleInfo name="TableStyleLight14" showFirstColumn="0" showLastColumn="0" showRowStripes="1" showColumnStripes="1"/>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AEAE0B1-C2AF-4F25-ABE6-3B6BF7B10E76}" name="TablaOpcionSiNo" displayName="TablaOpcionSiNo" ref="E79:F81" totalsRowShown="0" headerRowDxfId="57" dataDxfId="30">
  <autoFilter ref="E79:F81" xr:uid="{10F5D150-EF34-44E6-A35A-D49B6FDFBC37}"/>
  <tableColumns count="2">
    <tableColumn id="1" xr3:uid="{022865C1-74E7-4887-849B-31FF9719CCEE}" name="Opción" dataDxfId="32"/>
    <tableColumn id="2" xr3:uid="{F5B24AF1-372C-4899-82FF-848957B3F8E7}" name="Valor" dataDxfId="31"/>
  </tableColumns>
  <tableStyleInfo name="TableStyleLight9" showFirstColumn="0" showLastColumn="0" showRowStripes="1"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BC2764-AB18-4505-8ADA-816659B682D5}" name="TablaVersion" displayName="TablaVersion" ref="E103:E106" totalsRowShown="0" headerRowDxfId="56" dataDxfId="28">
  <autoFilter ref="E103:E106" xr:uid="{6A0B19E1-5EE1-4A7C-B10E-2D9A0F9A7F61}"/>
  <tableColumns count="1">
    <tableColumn id="1" xr3:uid="{B4046E80-9B62-4BD2-A6C2-2874F96EB2EB}" name="Versión" dataDxfId="29"/>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D96F700-1DCF-47A1-B53E-F609AE63B541}" name="TablaTipoObjetoExcel" displayName="TablaTipoObjetoExcel" ref="E91:E93" totalsRowShown="0" headerRowDxfId="55" dataDxfId="26">
  <autoFilter ref="E91:E93" xr:uid="{D7846DAA-0C6A-4EA0-A0AE-21347372B391}"/>
  <tableColumns count="1">
    <tableColumn id="1" xr3:uid="{F9364793-5684-4EDF-A0FD-3A31DF65356E}" name="Tipo" dataDxfId="27"/>
  </tableColumns>
  <tableStyleInfo name="TableStyleLight9" showFirstColumn="0" showLastColumn="0" showRowStripes="1" showColumnStripes="1"/>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476E955-AA77-4CC0-AF29-DA686B516688}" name="TablaAccionGeneral" displayName="TablaAccionGeneral" ref="E10:G17" totalsRowShown="0" headerRowDxfId="54" dataDxfId="22">
  <autoFilter ref="E10:G17" xr:uid="{045938DA-C92F-48A1-B762-635A077416C7}"/>
  <sortState xmlns:xlrd2="http://schemas.microsoft.com/office/spreadsheetml/2017/richdata2" ref="E11:G17">
    <sortCondition ref="E10:E17"/>
  </sortState>
  <tableColumns count="3">
    <tableColumn id="1" xr3:uid="{1FC5F85E-3C5A-479D-9E59-60C2546E7CEA}" name="Titulo" dataDxfId="25"/>
    <tableColumn id="3" xr3:uid="{1042C9F6-79F8-4060-A1B4-CE79299BC660}" name="Acción predeterminada" dataDxfId="24"/>
    <tableColumn id="2" xr3:uid="{CF41E1AF-D5D0-4C18-9825-F274CA233085}" name="Valor VBA" dataDxfId="23"/>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E9A596E-F0CC-4AFE-854A-2AD00F131566}" name="TablaAccionPlantilla" displayName="TablaAccionPlantilla" ref="E21:F25" totalsRowShown="0" headerRowDxfId="53" dataDxfId="19">
  <autoFilter ref="E21:F25" xr:uid="{4AFFA686-8EAF-4980-8D06-6624C9E6D2CB}"/>
  <tableColumns count="2">
    <tableColumn id="3" xr3:uid="{8AC24990-5E41-49D3-824C-92FE6B0F3DC7}" name="Titulo" dataDxfId="21"/>
    <tableColumn id="2" xr3:uid="{40D6D903-A80F-403F-BD7D-6AFD2DE62CBC}" name="Valor VBA" dataDxfId="20"/>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9ADDA44-8BAA-42D7-A299-3E67833673E9}" name="TablaPestanaCinOpciones" displayName="TablaPestanaCinOpciones" ref="E72:F75" totalsRowShown="0" headerRowDxfId="52" dataDxfId="16">
  <autoFilter ref="E72:F75" xr:uid="{02F4BD2F-FF1B-4F3C-B54C-9E568D98AF7D}"/>
  <tableColumns count="2">
    <tableColumn id="1" xr3:uid="{F0BB1FCA-2291-42E6-9428-A1E57475A896}" name="Nombre" dataDxfId="18"/>
    <tableColumn id="2" xr3:uid="{4EF01EC3-10F4-4983-8843-CFD2BCA569E4}" name="ID cinta de opciones" dataDxfId="17"/>
  </tableColumns>
  <tableStyleInfo name="TableStyleLight9"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9AB9C53-212E-40BB-8C9E-B03F16169AC3}" name="TablaMes" displayName="TablaMes" ref="E56:F68" totalsRowShown="0" headerRowDxfId="51" dataDxfId="13" headerRowBorderDxfId="50" tableBorderDxfId="49" totalsRowBorderDxfId="48">
  <autoFilter ref="E56:F68" xr:uid="{8FE9BF77-50B1-45FB-8E43-720A71CB1094}"/>
  <tableColumns count="2">
    <tableColumn id="1" xr3:uid="{51969888-6F1F-4227-B4C8-003667387EE6}" name="Nombre mes" dataDxfId="15"/>
    <tableColumn id="2" xr3:uid="{491DC91C-AE85-41D2-976C-CC7BA392F23F}" name="Número mes" dataDxfId="14"/>
  </tableColumns>
  <tableStyleInfo name="TableStyleLight9"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EFF017C-9A9D-467D-985D-2CBDA8EDF3BB}" name="TablaPeriodosEnPeriodo" displayName="TablaPeriodosEnPeriodo" ref="E85:E87" totalsRowShown="0" headerRowDxfId="47" dataDxfId="11">
  <autoFilter ref="E85:E87" xr:uid="{B4C5993D-F930-4E60-89E6-0973423B0795}"/>
  <tableColumns count="1">
    <tableColumn id="1" xr3:uid="{A7C3614D-E0E5-4C7F-A3D6-0C30336036A5}" name="Períodos" dataDxfId="12"/>
  </tableColumns>
  <tableStyleInfo name="TableStyleLight9"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1B1F827-F86D-4C01-94A4-CD2F706C9931}" name="TablaConvDenominacion" displayName="TablaConvDenominacion" ref="E29:G33" totalsRowShown="0" headerRowDxfId="46" dataDxfId="7">
  <autoFilter ref="E29:G33" xr:uid="{01071D87-F896-4167-9AF7-513AC76BBB14}"/>
  <tableColumns count="3">
    <tableColumn id="1" xr3:uid="{00155902-FD44-44BF-A07C-116E34F918EE}" name="Factor conversión" dataDxfId="10"/>
    <tableColumn id="2" xr3:uid="{673428FA-CDAF-4A15-A882-A1EC765A7291}" name="Conversión" dataDxfId="9"/>
    <tableColumn id="3" xr3:uid="{9C6223F0-B9CB-4CB1-99C0-496C77BFCE1E}" name="Descripción" dataDxfId="8"/>
  </tableColumns>
  <tableStyleInfo name="TableStyleLight9"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94E2AE5-4AE9-4381-8C32-55D319960A4C}" name="TablaModulo" displayName="TablaModulo" ref="E37:G52" totalsRowShown="0" headerRowDxfId="45" dataDxfId="3">
  <autoFilter ref="E37:G52" xr:uid="{5A96BCAA-2DB7-4EFC-B977-78E3520562F4}"/>
  <tableColumns count="3">
    <tableColumn id="1" xr3:uid="{26545B35-4025-4174-BF3A-BC8FDEFD2D58}" name="Nombre hoja VBA" dataDxfId="6"/>
    <tableColumn id="2" xr3:uid="{ED39C323-0437-4637-BC00-18077BA86500}" name="Nombre hoja" dataDxfId="5"/>
    <tableColumn id="3" xr3:uid="{1543FC0D-8D74-48C9-AC44-71554D891DF7}" name="Título" dataDxfId="4"/>
  </tableColumns>
  <tableStyleInfo name="TableStyleLight9" showFirstColumn="0"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A522F25-0227-4F2B-A38B-38FFAA3D2AE3}" name="TablaTipoResumenER" displayName="TablaTipoResumenER" ref="E97:F99" totalsRowShown="0" headerRowDxfId="44" dataDxfId="0">
  <autoFilter ref="E97:F99" xr:uid="{BA17037F-8837-494D-AE49-AA42F1180F5B}"/>
  <tableColumns count="2">
    <tableColumn id="1" xr3:uid="{E862E9CC-9B5C-4352-BA5E-565AD8EDA754}" name="Medida" dataDxfId="2"/>
    <tableColumn id="2" xr3:uid="{8BBC6A4D-79F6-42D9-AF4A-D337ED5107AA}" name="MedidaID" dataDxfId="1"/>
  </tableColumns>
  <tableStyleInfo name="TableStyleLight9" showFirstColumn="0" showLastColumn="0" showRowStripes="1" showColumnStripes="0"/>
</table>
</file>

<file path=xl/theme/theme1.xml><?xml version="1.0" encoding="utf-8"?>
<a:theme xmlns:a="http://schemas.openxmlformats.org/drawingml/2006/main" name="TemaVerdeFormal">
  <a:themeElements>
    <a:clrScheme name="Verde formal">
      <a:dk1>
        <a:sysClr val="windowText" lastClr="000000"/>
      </a:dk1>
      <a:lt1>
        <a:sysClr val="window" lastClr="FFFFFF"/>
      </a:lt1>
      <a:dk2>
        <a:srgbClr val="000000"/>
      </a:dk2>
      <a:lt2>
        <a:srgbClr val="E9EAEA"/>
      </a:lt2>
      <a:accent1>
        <a:srgbClr val="265E35"/>
      </a:accent1>
      <a:accent2>
        <a:srgbClr val="333A56"/>
      </a:accent2>
      <a:accent3>
        <a:srgbClr val="773344"/>
      </a:accent3>
      <a:accent4>
        <a:srgbClr val="C0C5C1"/>
      </a:accent4>
      <a:accent5>
        <a:srgbClr val="7D8491"/>
      </a:accent5>
      <a:accent6>
        <a:srgbClr val="E35856"/>
      </a:accent6>
      <a:hlink>
        <a:srgbClr val="308DBB"/>
      </a:hlink>
      <a:folHlink>
        <a:srgbClr val="915B97"/>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6.bin"/><Relationship Id="rId1" Type="http://schemas.openxmlformats.org/officeDocument/2006/relationships/pivotTable" Target="../pivotTables/pivotTable1.xml"/><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vmlDrawing" Target="../drawings/vmlDrawing1.vml"/><Relationship Id="rId1" Type="http://schemas.openxmlformats.org/officeDocument/2006/relationships/printerSettings" Target="../printerSettings/printerSettings9.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6607A-5710-45C7-8CF5-D2047AA3D2C6}">
  <sheetPr codeName="AppStylesReport"/>
  <dimension ref="A1:K80"/>
  <sheetViews>
    <sheetView showGridLines="0" workbookViewId="0">
      <pane xSplit="8" ySplit="3" topLeftCell="I4" activePane="bottomRight" state="frozenSplit"/>
      <selection pane="topRight" activeCell="I1" sqref="I1"/>
      <selection pane="bottomLeft" activeCell="A4" sqref="A4"/>
      <selection pane="bottomRight"/>
    </sheetView>
  </sheetViews>
  <sheetFormatPr baseColWidth="10" defaultRowHeight="12" x14ac:dyDescent="0.2"/>
  <cols>
    <col min="1" max="5" width="4.140625" style="1" customWidth="1"/>
    <col min="6" max="6" width="18.7109375" style="1" customWidth="1"/>
    <col min="7" max="7" width="25.7109375" style="1" customWidth="1"/>
    <col min="8" max="8" width="4.7109375" style="1" customWidth="1"/>
    <col min="9" max="11" width="19.7109375" style="2" customWidth="1"/>
    <col min="12" max="16384" width="11.42578125" style="1"/>
  </cols>
  <sheetData>
    <row r="1" spans="1:11" ht="15" x14ac:dyDescent="0.25">
      <c r="A1"/>
    </row>
    <row r="3" spans="1:11" x14ac:dyDescent="0.2">
      <c r="I3" s="2" t="s">
        <v>0</v>
      </c>
      <c r="J3" s="2" t="s">
        <v>1</v>
      </c>
      <c r="K3" s="2" t="s">
        <v>2</v>
      </c>
    </row>
    <row r="5" spans="1:11" ht="20.25" thickBot="1" x14ac:dyDescent="0.35">
      <c r="B5" s="68" t="s">
        <v>3</v>
      </c>
      <c r="C5" s="68"/>
      <c r="D5" s="68"/>
      <c r="E5" s="68"/>
      <c r="F5" s="68"/>
      <c r="G5" s="68"/>
    </row>
    <row r="6" spans="1:11" ht="12.75" thickTop="1" x14ac:dyDescent="0.2"/>
    <row r="7" spans="1:11" x14ac:dyDescent="0.2">
      <c r="B7" s="1" t="s">
        <v>4</v>
      </c>
    </row>
    <row r="8" spans="1:11" x14ac:dyDescent="0.2">
      <c r="C8" s="1" t="s">
        <v>5</v>
      </c>
      <c r="G8" s="3">
        <v>2019</v>
      </c>
      <c r="I8" s="2" t="s">
        <v>6</v>
      </c>
      <c r="J8" s="2">
        <v>9</v>
      </c>
      <c r="K8" s="2" t="s">
        <v>7</v>
      </c>
    </row>
    <row r="9" spans="1:11" x14ac:dyDescent="0.2">
      <c r="C9" s="1" t="s">
        <v>8</v>
      </c>
      <c r="G9" s="4">
        <v>43784.796643518515</v>
      </c>
      <c r="I9" s="2" t="s">
        <v>6</v>
      </c>
      <c r="J9" s="2">
        <v>9</v>
      </c>
      <c r="K9" s="2" t="s">
        <v>7</v>
      </c>
    </row>
    <row r="10" spans="1:11" x14ac:dyDescent="0.2">
      <c r="C10" s="1" t="s">
        <v>9</v>
      </c>
      <c r="G10" s="5">
        <v>43784</v>
      </c>
      <c r="I10" s="2" t="s">
        <v>6</v>
      </c>
      <c r="J10" s="2">
        <v>9</v>
      </c>
      <c r="K10" s="2" t="s">
        <v>7</v>
      </c>
    </row>
    <row r="11" spans="1:11" x14ac:dyDescent="0.2">
      <c r="C11" s="1" t="s">
        <v>10</v>
      </c>
      <c r="G11" s="6">
        <v>5.9</v>
      </c>
      <c r="I11" s="2" t="s">
        <v>6</v>
      </c>
      <c r="J11" s="2">
        <v>9</v>
      </c>
      <c r="K11" s="2" t="s">
        <v>7</v>
      </c>
    </row>
    <row r="12" spans="1:11" x14ac:dyDescent="0.2">
      <c r="C12" s="1" t="s">
        <v>11</v>
      </c>
      <c r="G12" s="7">
        <v>12345</v>
      </c>
      <c r="I12" s="2" t="s">
        <v>6</v>
      </c>
      <c r="J12" s="2">
        <v>9</v>
      </c>
      <c r="K12" s="2" t="s">
        <v>7</v>
      </c>
    </row>
    <row r="13" spans="1:11" x14ac:dyDescent="0.2">
      <c r="C13" s="1" t="s">
        <v>12</v>
      </c>
      <c r="G13" s="8">
        <v>5</v>
      </c>
      <c r="I13" s="2" t="s">
        <v>6</v>
      </c>
      <c r="J13" s="2">
        <v>9</v>
      </c>
      <c r="K13" s="2" t="s">
        <v>7</v>
      </c>
    </row>
    <row r="14" spans="1:11" x14ac:dyDescent="0.2">
      <c r="C14" s="1" t="s">
        <v>13</v>
      </c>
      <c r="G14" s="9">
        <v>12345</v>
      </c>
      <c r="I14" s="2" t="s">
        <v>6</v>
      </c>
      <c r="J14" s="2">
        <v>9</v>
      </c>
      <c r="K14" s="2" t="s">
        <v>7</v>
      </c>
    </row>
    <row r="15" spans="1:11" x14ac:dyDescent="0.2">
      <c r="C15" s="1" t="s">
        <v>14</v>
      </c>
      <c r="G15" s="10">
        <v>99.9</v>
      </c>
      <c r="I15" s="2" t="s">
        <v>6</v>
      </c>
      <c r="J15" s="2">
        <v>9</v>
      </c>
      <c r="K15" s="2" t="s">
        <v>7</v>
      </c>
    </row>
    <row r="17" spans="2:11" x14ac:dyDescent="0.2">
      <c r="B17" s="1" t="s">
        <v>15</v>
      </c>
    </row>
    <row r="18" spans="2:11" x14ac:dyDescent="0.2">
      <c r="C18" s="1" t="s">
        <v>16</v>
      </c>
      <c r="G18" s="11" t="s">
        <v>17</v>
      </c>
      <c r="I18" s="2" t="s">
        <v>6</v>
      </c>
      <c r="J18" s="2">
        <v>9</v>
      </c>
      <c r="K18" s="2" t="s">
        <v>7</v>
      </c>
    </row>
    <row r="19" spans="2:11" x14ac:dyDescent="0.2">
      <c r="C19" s="1" t="s">
        <v>18</v>
      </c>
      <c r="G19" s="12" t="s">
        <v>19</v>
      </c>
      <c r="I19" s="2" t="s">
        <v>6</v>
      </c>
      <c r="J19" s="2">
        <v>9</v>
      </c>
      <c r="K19" s="2" t="s">
        <v>7</v>
      </c>
    </row>
    <row r="20" spans="2:11" x14ac:dyDescent="0.2">
      <c r="C20" s="1" t="s">
        <v>20</v>
      </c>
      <c r="G20" s="13" t="s">
        <v>21</v>
      </c>
      <c r="I20" s="2" t="s">
        <v>6</v>
      </c>
      <c r="J20" s="2">
        <v>9</v>
      </c>
      <c r="K20" s="2" t="s">
        <v>7</v>
      </c>
    </row>
    <row r="21" spans="2:11" x14ac:dyDescent="0.2">
      <c r="C21" s="1" t="s">
        <v>22</v>
      </c>
      <c r="G21" s="14" t="s">
        <v>23</v>
      </c>
      <c r="I21" s="2" t="s">
        <v>6</v>
      </c>
      <c r="J21" s="2">
        <v>9</v>
      </c>
      <c r="K21" s="2" t="s">
        <v>7</v>
      </c>
    </row>
    <row r="23" spans="2:11" x14ac:dyDescent="0.2">
      <c r="B23" s="1" t="s">
        <v>24</v>
      </c>
    </row>
    <row r="24" spans="2:11" ht="15.75" thickBot="1" x14ac:dyDescent="0.3">
      <c r="C24" s="1" t="s">
        <v>25</v>
      </c>
      <c r="G24" s="15" t="s">
        <v>26</v>
      </c>
      <c r="I24" s="2" t="s">
        <v>6</v>
      </c>
      <c r="J24" s="2">
        <v>11</v>
      </c>
      <c r="K24" s="2" t="s">
        <v>27</v>
      </c>
    </row>
    <row r="25" spans="2:11" ht="14.25" thickTop="1" thickBot="1" x14ac:dyDescent="0.25">
      <c r="C25" s="1" t="s">
        <v>28</v>
      </c>
      <c r="G25" s="16" t="s">
        <v>29</v>
      </c>
      <c r="I25" s="2" t="s">
        <v>6</v>
      </c>
      <c r="J25" s="2">
        <v>10</v>
      </c>
      <c r="K25" s="2" t="s">
        <v>27</v>
      </c>
    </row>
    <row r="26" spans="2:11" ht="12.75" thickTop="1" x14ac:dyDescent="0.2">
      <c r="C26" s="1" t="s">
        <v>30</v>
      </c>
      <c r="G26" s="17" t="s">
        <v>31</v>
      </c>
      <c r="I26" s="2" t="s">
        <v>6</v>
      </c>
      <c r="J26" s="2">
        <v>9</v>
      </c>
      <c r="K26" s="2" t="s">
        <v>27</v>
      </c>
    </row>
    <row r="28" spans="2:11" x14ac:dyDescent="0.2">
      <c r="B28" s="1" t="s">
        <v>32</v>
      </c>
    </row>
    <row r="29" spans="2:11" ht="15" x14ac:dyDescent="0.2">
      <c r="C29" s="1" t="s">
        <v>33</v>
      </c>
      <c r="G29" s="18" t="s">
        <v>34</v>
      </c>
      <c r="I29" s="2" t="s">
        <v>35</v>
      </c>
      <c r="J29" s="2">
        <v>10</v>
      </c>
      <c r="K29" s="2" t="s">
        <v>7</v>
      </c>
    </row>
    <row r="30" spans="2:11" x14ac:dyDescent="0.2">
      <c r="C30" s="1" t="s">
        <v>36</v>
      </c>
      <c r="G30" s="19" t="s">
        <v>37</v>
      </c>
      <c r="I30" s="2" t="s">
        <v>6</v>
      </c>
      <c r="J30" s="2">
        <v>9</v>
      </c>
      <c r="K30" s="2" t="s">
        <v>7</v>
      </c>
    </row>
    <row r="32" spans="2:11" x14ac:dyDescent="0.2">
      <c r="B32" s="1" t="s">
        <v>38</v>
      </c>
    </row>
    <row r="33" spans="2:11" ht="12.75" x14ac:dyDescent="0.2">
      <c r="C33" s="1" t="s">
        <v>39</v>
      </c>
      <c r="G33" s="20" t="s">
        <v>40</v>
      </c>
      <c r="I33" s="2" t="s">
        <v>41</v>
      </c>
      <c r="J33" s="2">
        <v>10</v>
      </c>
      <c r="K33" s="2" t="s">
        <v>27</v>
      </c>
    </row>
    <row r="34" spans="2:11" ht="12.75" x14ac:dyDescent="0.2">
      <c r="C34" s="1" t="s">
        <v>42</v>
      </c>
      <c r="G34" s="21" t="s">
        <v>43</v>
      </c>
      <c r="I34" s="2" t="s">
        <v>41</v>
      </c>
      <c r="J34" s="2">
        <v>10</v>
      </c>
      <c r="K34" s="2" t="s">
        <v>7</v>
      </c>
    </row>
    <row r="35" spans="2:11" ht="15" x14ac:dyDescent="0.2">
      <c r="C35" s="1" t="s">
        <v>44</v>
      </c>
      <c r="G35" s="22" t="s">
        <v>45</v>
      </c>
      <c r="I35" s="2" t="s">
        <v>41</v>
      </c>
      <c r="J35" s="2">
        <v>11</v>
      </c>
      <c r="K35" s="2" t="s">
        <v>27</v>
      </c>
    </row>
    <row r="36" spans="2:11" ht="12.75" x14ac:dyDescent="0.2">
      <c r="C36" s="1" t="s">
        <v>46</v>
      </c>
      <c r="G36" s="23" t="s">
        <v>47</v>
      </c>
      <c r="I36" s="2" t="s">
        <v>41</v>
      </c>
      <c r="J36" s="2">
        <v>10</v>
      </c>
      <c r="K36" s="2" t="s">
        <v>27</v>
      </c>
    </row>
    <row r="37" spans="2:11" x14ac:dyDescent="0.2">
      <c r="C37" s="1" t="s">
        <v>48</v>
      </c>
      <c r="G37" s="24" t="s">
        <v>49</v>
      </c>
      <c r="I37" s="2" t="s">
        <v>41</v>
      </c>
      <c r="J37" s="2">
        <v>9</v>
      </c>
      <c r="K37" s="2" t="s">
        <v>27</v>
      </c>
    </row>
    <row r="38" spans="2:11" x14ac:dyDescent="0.2">
      <c r="C38" s="1" t="s">
        <v>50</v>
      </c>
      <c r="G38" s="25" t="s">
        <v>51</v>
      </c>
      <c r="I38" s="2" t="s">
        <v>41</v>
      </c>
      <c r="J38" s="2">
        <v>9</v>
      </c>
      <c r="K38" s="2" t="s">
        <v>27</v>
      </c>
    </row>
    <row r="39" spans="2:11" x14ac:dyDescent="0.2">
      <c r="C39" s="1" t="s">
        <v>52</v>
      </c>
      <c r="G39" s="26" t="s">
        <v>53</v>
      </c>
      <c r="I39" s="2" t="s">
        <v>41</v>
      </c>
      <c r="J39" s="2">
        <v>9</v>
      </c>
      <c r="K39" s="2" t="s">
        <v>7</v>
      </c>
    </row>
    <row r="41" spans="2:11" x14ac:dyDescent="0.2">
      <c r="B41" s="1" t="s">
        <v>54</v>
      </c>
    </row>
    <row r="42" spans="2:11" x14ac:dyDescent="0.2">
      <c r="C42" s="1" t="s">
        <v>55</v>
      </c>
      <c r="G42" s="27" t="s">
        <v>56</v>
      </c>
      <c r="I42" s="2" t="s">
        <v>57</v>
      </c>
      <c r="J42" s="2">
        <v>9</v>
      </c>
      <c r="K42" s="2" t="s">
        <v>7</v>
      </c>
    </row>
    <row r="43" spans="2:11" x14ac:dyDescent="0.2">
      <c r="C43" s="1" t="s">
        <v>58</v>
      </c>
      <c r="G43" s="28" t="s">
        <v>58</v>
      </c>
      <c r="I43" s="2" t="s">
        <v>6</v>
      </c>
      <c r="J43" s="2">
        <v>9</v>
      </c>
      <c r="K43" s="2" t="s">
        <v>7</v>
      </c>
    </row>
    <row r="45" spans="2:11" x14ac:dyDescent="0.2">
      <c r="B45" s="1" t="s">
        <v>59</v>
      </c>
    </row>
    <row r="46" spans="2:11" x14ac:dyDescent="0.2">
      <c r="C46" s="1" t="s">
        <v>5</v>
      </c>
      <c r="G46" s="29">
        <v>2019</v>
      </c>
      <c r="I46" s="2" t="s">
        <v>6</v>
      </c>
      <c r="J46" s="2">
        <v>9</v>
      </c>
      <c r="K46" s="2" t="s">
        <v>7</v>
      </c>
    </row>
    <row r="47" spans="2:11" x14ac:dyDescent="0.2">
      <c r="C47" s="1" t="s">
        <v>8</v>
      </c>
      <c r="G47" s="30">
        <v>43784.796643518515</v>
      </c>
      <c r="I47" s="2" t="s">
        <v>6</v>
      </c>
      <c r="J47" s="2">
        <v>9</v>
      </c>
      <c r="K47" s="2" t="s">
        <v>7</v>
      </c>
    </row>
    <row r="48" spans="2:11" x14ac:dyDescent="0.2">
      <c r="C48" s="1" t="s">
        <v>9</v>
      </c>
      <c r="G48" s="31">
        <v>43784</v>
      </c>
      <c r="I48" s="2" t="s">
        <v>6</v>
      </c>
      <c r="J48" s="2">
        <v>9</v>
      </c>
      <c r="K48" s="2" t="s">
        <v>7</v>
      </c>
    </row>
    <row r="49" spans="2:11" x14ac:dyDescent="0.2">
      <c r="C49" s="1" t="s">
        <v>10</v>
      </c>
      <c r="G49" s="32">
        <v>5.9</v>
      </c>
      <c r="I49" s="2" t="s">
        <v>6</v>
      </c>
      <c r="J49" s="2">
        <v>9</v>
      </c>
      <c r="K49" s="2" t="s">
        <v>7</v>
      </c>
    </row>
    <row r="50" spans="2:11" x14ac:dyDescent="0.2">
      <c r="C50" s="1" t="s">
        <v>11</v>
      </c>
      <c r="G50" s="33">
        <v>12345</v>
      </c>
      <c r="I50" s="2" t="s">
        <v>6</v>
      </c>
      <c r="J50" s="2">
        <v>9</v>
      </c>
      <c r="K50" s="2" t="s">
        <v>7</v>
      </c>
    </row>
    <row r="51" spans="2:11" x14ac:dyDescent="0.2">
      <c r="C51" s="1" t="s">
        <v>12</v>
      </c>
      <c r="G51" s="34">
        <v>5</v>
      </c>
      <c r="I51" s="2" t="s">
        <v>6</v>
      </c>
      <c r="J51" s="2">
        <v>9</v>
      </c>
      <c r="K51" s="2" t="s">
        <v>7</v>
      </c>
    </row>
    <row r="52" spans="2:11" x14ac:dyDescent="0.2">
      <c r="C52" s="1" t="s">
        <v>13</v>
      </c>
      <c r="G52" s="35">
        <v>12345</v>
      </c>
      <c r="I52" s="2" t="s">
        <v>6</v>
      </c>
      <c r="J52" s="2">
        <v>9</v>
      </c>
      <c r="K52" s="2" t="s">
        <v>7</v>
      </c>
    </row>
    <row r="53" spans="2:11" x14ac:dyDescent="0.2">
      <c r="C53" s="1" t="s">
        <v>14</v>
      </c>
      <c r="G53" s="36">
        <v>99.9</v>
      </c>
      <c r="I53" s="2" t="s">
        <v>6</v>
      </c>
      <c r="J53" s="2">
        <v>9</v>
      </c>
      <c r="K53" s="2" t="s">
        <v>7</v>
      </c>
    </row>
    <row r="55" spans="2:11" x14ac:dyDescent="0.2">
      <c r="B55" s="1" t="s">
        <v>60</v>
      </c>
    </row>
    <row r="56" spans="2:11" ht="15.75" thickBot="1" x14ac:dyDescent="0.3">
      <c r="C56" s="1" t="s">
        <v>61</v>
      </c>
      <c r="G56" s="37" t="s">
        <v>62</v>
      </c>
      <c r="I56" s="2" t="s">
        <v>6</v>
      </c>
      <c r="J56" s="2">
        <v>11</v>
      </c>
      <c r="K56" s="2" t="s">
        <v>27</v>
      </c>
    </row>
    <row r="57" spans="2:11" ht="14.25" thickTop="1" thickBot="1" x14ac:dyDescent="0.25">
      <c r="C57" s="1" t="s">
        <v>63</v>
      </c>
      <c r="G57" s="38" t="s">
        <v>64</v>
      </c>
      <c r="I57" s="2" t="s">
        <v>6</v>
      </c>
      <c r="J57" s="2">
        <v>10</v>
      </c>
      <c r="K57" s="2" t="s">
        <v>27</v>
      </c>
    </row>
    <row r="58" spans="2:11" ht="12.75" thickTop="1" x14ac:dyDescent="0.2">
      <c r="C58" s="1" t="s">
        <v>65</v>
      </c>
      <c r="G58" s="39" t="s">
        <v>66</v>
      </c>
      <c r="I58" s="2" t="s">
        <v>6</v>
      </c>
      <c r="J58" s="2">
        <v>9</v>
      </c>
      <c r="K58" s="2" t="s">
        <v>27</v>
      </c>
    </row>
    <row r="60" spans="2:11" x14ac:dyDescent="0.2">
      <c r="B60" s="1" t="s">
        <v>67</v>
      </c>
    </row>
    <row r="61" spans="2:11" x14ac:dyDescent="0.2">
      <c r="C61" s="1" t="s">
        <v>5</v>
      </c>
      <c r="G61" s="40">
        <v>2019</v>
      </c>
      <c r="I61" s="2" t="s">
        <v>6</v>
      </c>
      <c r="J61" s="2">
        <v>9</v>
      </c>
      <c r="K61" s="2" t="s">
        <v>7</v>
      </c>
    </row>
    <row r="62" spans="2:11" x14ac:dyDescent="0.2">
      <c r="C62" s="1" t="s">
        <v>68</v>
      </c>
      <c r="G62" s="41" t="s">
        <v>69</v>
      </c>
      <c r="I62" s="2" t="s">
        <v>6</v>
      </c>
      <c r="J62" s="2">
        <v>9</v>
      </c>
      <c r="K62" s="2" t="s">
        <v>7</v>
      </c>
    </row>
    <row r="63" spans="2:11" x14ac:dyDescent="0.2">
      <c r="C63" s="1" t="s">
        <v>8</v>
      </c>
      <c r="G63" s="42">
        <v>43784.796643518515</v>
      </c>
      <c r="I63" s="2" t="s">
        <v>6</v>
      </c>
      <c r="J63" s="2">
        <v>9</v>
      </c>
      <c r="K63" s="2" t="s">
        <v>7</v>
      </c>
    </row>
    <row r="64" spans="2:11" x14ac:dyDescent="0.2">
      <c r="C64" s="1" t="s">
        <v>9</v>
      </c>
      <c r="G64" s="43">
        <v>43784</v>
      </c>
      <c r="I64" s="2" t="s">
        <v>6</v>
      </c>
      <c r="J64" s="2">
        <v>9</v>
      </c>
      <c r="K64" s="2" t="s">
        <v>7</v>
      </c>
    </row>
    <row r="65" spans="2:11" x14ac:dyDescent="0.2">
      <c r="C65" s="1" t="s">
        <v>10</v>
      </c>
      <c r="G65" s="44">
        <v>5.9</v>
      </c>
      <c r="I65" s="2" t="s">
        <v>6</v>
      </c>
      <c r="J65" s="2">
        <v>9</v>
      </c>
      <c r="K65" s="2" t="s">
        <v>7</v>
      </c>
    </row>
    <row r="66" spans="2:11" x14ac:dyDescent="0.2">
      <c r="C66" s="1" t="s">
        <v>11</v>
      </c>
      <c r="G66" s="45">
        <v>12345</v>
      </c>
      <c r="I66" s="2" t="s">
        <v>6</v>
      </c>
      <c r="J66" s="2">
        <v>9</v>
      </c>
      <c r="K66" s="2" t="s">
        <v>7</v>
      </c>
    </row>
    <row r="67" spans="2:11" x14ac:dyDescent="0.2">
      <c r="C67" s="1" t="s">
        <v>12</v>
      </c>
      <c r="G67" s="46">
        <v>5</v>
      </c>
      <c r="I67" s="2" t="s">
        <v>6</v>
      </c>
      <c r="J67" s="2">
        <v>9</v>
      </c>
      <c r="K67" s="2" t="s">
        <v>7</v>
      </c>
    </row>
    <row r="68" spans="2:11" x14ac:dyDescent="0.2">
      <c r="C68" s="1" t="s">
        <v>13</v>
      </c>
      <c r="G68" s="47">
        <v>12345</v>
      </c>
      <c r="I68" s="2" t="s">
        <v>6</v>
      </c>
      <c r="J68" s="2">
        <v>9</v>
      </c>
      <c r="K68" s="2" t="s">
        <v>7</v>
      </c>
    </row>
    <row r="69" spans="2:11" x14ac:dyDescent="0.2">
      <c r="C69" s="1" t="s">
        <v>14</v>
      </c>
      <c r="G69" s="48">
        <v>99.9</v>
      </c>
      <c r="I69" s="2" t="s">
        <v>6</v>
      </c>
      <c r="J69" s="2">
        <v>9</v>
      </c>
      <c r="K69" s="2" t="s">
        <v>7</v>
      </c>
    </row>
    <row r="70" spans="2:11" x14ac:dyDescent="0.2">
      <c r="C70" s="1" t="s">
        <v>58</v>
      </c>
      <c r="G70" s="49" t="s">
        <v>70</v>
      </c>
      <c r="I70" s="2" t="s">
        <v>6</v>
      </c>
      <c r="J70" s="2">
        <v>9</v>
      </c>
      <c r="K70" s="2" t="s">
        <v>7</v>
      </c>
    </row>
    <row r="72" spans="2:11" ht="20.25" thickBot="1" x14ac:dyDescent="0.35">
      <c r="B72" s="68" t="s">
        <v>71</v>
      </c>
      <c r="C72" s="68"/>
      <c r="D72" s="68"/>
      <c r="E72" s="68"/>
      <c r="F72" s="68"/>
      <c r="G72" s="68"/>
    </row>
    <row r="73" spans="2:11" ht="12.75" thickTop="1" x14ac:dyDescent="0.2"/>
    <row r="74" spans="2:11" ht="15" x14ac:dyDescent="0.25">
      <c r="C74" s="1" t="s">
        <v>72</v>
      </c>
      <c r="G74" s="69" t="s">
        <v>73</v>
      </c>
    </row>
    <row r="76" spans="2:11" ht="15" x14ac:dyDescent="0.25">
      <c r="C76" s="1" t="s">
        <v>74</v>
      </c>
      <c r="G76" s="70" t="s">
        <v>75</v>
      </c>
    </row>
    <row r="78" spans="2:11" ht="15" x14ac:dyDescent="0.25">
      <c r="C78" s="1" t="s">
        <v>76</v>
      </c>
      <c r="G78" s="71" t="s">
        <v>77</v>
      </c>
    </row>
    <row r="80" spans="2:11" ht="15" x14ac:dyDescent="0.25">
      <c r="C80" s="1" t="s">
        <v>78</v>
      </c>
      <c r="G80" s="72" t="s">
        <v>79</v>
      </c>
    </row>
  </sheetData>
  <sheetProtection sheet="1" objects="1" scenarios="1" formatColumns="0" formatRows="0" insertRows="0" deleteRows="0" sort="0" autoFilter="0" pivotTables="0"/>
  <dataConsolidate/>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CF37-174D-462F-B73B-7CC5E4699D1B}">
  <sheetPr codeName="TestQuery"/>
  <dimension ref="A1:B102"/>
  <sheetViews>
    <sheetView workbookViewId="0"/>
  </sheetViews>
  <sheetFormatPr baseColWidth="10" defaultRowHeight="15" x14ac:dyDescent="0.25"/>
  <cols>
    <col min="1" max="1" width="12" bestFit="1" customWidth="1"/>
    <col min="2" max="2" width="8.7109375" bestFit="1" customWidth="1"/>
  </cols>
  <sheetData>
    <row r="1" spans="1:2" x14ac:dyDescent="0.25">
      <c r="A1" t="s">
        <v>404</v>
      </c>
      <c r="B1" t="s">
        <v>405</v>
      </c>
    </row>
    <row r="2" spans="1:2" x14ac:dyDescent="0.25">
      <c r="A2" s="67">
        <v>21.716289698014172</v>
      </c>
      <c r="B2" s="67">
        <v>0</v>
      </c>
    </row>
    <row r="3" spans="1:2" x14ac:dyDescent="0.25">
      <c r="A3" s="67">
        <v>6.3724099222442181</v>
      </c>
      <c r="B3" s="67">
        <v>1</v>
      </c>
    </row>
    <row r="4" spans="1:2" x14ac:dyDescent="0.25">
      <c r="A4" s="67">
        <v>21.745664729618312</v>
      </c>
      <c r="B4" s="67">
        <v>2</v>
      </c>
    </row>
    <row r="5" spans="1:2" x14ac:dyDescent="0.25">
      <c r="A5" s="67">
        <v>75.903510430782802</v>
      </c>
      <c r="B5" s="67">
        <v>3</v>
      </c>
    </row>
    <row r="6" spans="1:2" x14ac:dyDescent="0.25">
      <c r="A6" s="67">
        <v>73.062825516361201</v>
      </c>
      <c r="B6" s="67">
        <v>4</v>
      </c>
    </row>
    <row r="7" spans="1:2" x14ac:dyDescent="0.25">
      <c r="A7" s="67">
        <v>75.850601389934596</v>
      </c>
      <c r="B7" s="67">
        <v>5</v>
      </c>
    </row>
    <row r="8" spans="1:2" x14ac:dyDescent="0.25">
      <c r="A8" s="67">
        <v>57.180770839183012</v>
      </c>
      <c r="B8" s="67">
        <v>6</v>
      </c>
    </row>
    <row r="9" spans="1:2" x14ac:dyDescent="0.25">
      <c r="A9" s="67">
        <v>8.9873425238706837</v>
      </c>
      <c r="B9" s="67">
        <v>7</v>
      </c>
    </row>
    <row r="10" spans="1:2" x14ac:dyDescent="0.25">
      <c r="A10" s="67">
        <v>50.401133974269563</v>
      </c>
      <c r="B10" s="67">
        <v>8</v>
      </c>
    </row>
    <row r="11" spans="1:2" x14ac:dyDescent="0.25">
      <c r="A11" s="67">
        <v>24.303122434906253</v>
      </c>
      <c r="B11" s="67">
        <v>9</v>
      </c>
    </row>
    <row r="12" spans="1:2" x14ac:dyDescent="0.25">
      <c r="A12" s="67">
        <v>68.777459286515352</v>
      </c>
      <c r="B12" s="67">
        <v>10</v>
      </c>
    </row>
    <row r="13" spans="1:2" x14ac:dyDescent="0.25">
      <c r="A13" s="67">
        <v>90.66687719461828</v>
      </c>
      <c r="B13" s="67">
        <v>11</v>
      </c>
    </row>
    <row r="14" spans="1:2" x14ac:dyDescent="0.25">
      <c r="A14" s="67">
        <v>5.1648510644048695</v>
      </c>
      <c r="B14" s="67">
        <v>12</v>
      </c>
    </row>
    <row r="15" spans="1:2" x14ac:dyDescent="0.25">
      <c r="A15" s="67">
        <v>9.2442456210238131</v>
      </c>
      <c r="B15" s="67">
        <v>13</v>
      </c>
    </row>
    <row r="16" spans="1:2" x14ac:dyDescent="0.25">
      <c r="A16" s="67">
        <v>40.384350083947346</v>
      </c>
      <c r="B16" s="67">
        <v>14</v>
      </c>
    </row>
    <row r="17" spans="1:2" x14ac:dyDescent="0.25">
      <c r="A17" s="67">
        <v>95.521618190930042</v>
      </c>
      <c r="B17" s="67">
        <v>15</v>
      </c>
    </row>
    <row r="18" spans="1:2" x14ac:dyDescent="0.25">
      <c r="A18" s="67">
        <v>75.733080308760094</v>
      </c>
      <c r="B18" s="67">
        <v>16</v>
      </c>
    </row>
    <row r="19" spans="1:2" x14ac:dyDescent="0.25">
      <c r="A19" s="67">
        <v>44.291616810621512</v>
      </c>
      <c r="B19" s="67">
        <v>17</v>
      </c>
    </row>
    <row r="20" spans="1:2" x14ac:dyDescent="0.25">
      <c r="A20" s="67">
        <v>76.831913588955956</v>
      </c>
      <c r="B20" s="67">
        <v>18</v>
      </c>
    </row>
    <row r="21" spans="1:2" x14ac:dyDescent="0.25">
      <c r="A21" s="67">
        <v>11.456072987735306</v>
      </c>
      <c r="B21" s="67">
        <v>19</v>
      </c>
    </row>
    <row r="22" spans="1:2" x14ac:dyDescent="0.25">
      <c r="A22" s="67">
        <v>15.489776160330408</v>
      </c>
      <c r="B22" s="67">
        <v>20</v>
      </c>
    </row>
    <row r="23" spans="1:2" x14ac:dyDescent="0.25">
      <c r="A23" s="67">
        <v>99.70093336873731</v>
      </c>
      <c r="B23" s="67">
        <v>21</v>
      </c>
    </row>
    <row r="24" spans="1:2" x14ac:dyDescent="0.25">
      <c r="A24" s="67">
        <v>78.128946050130281</v>
      </c>
      <c r="B24" s="67">
        <v>22</v>
      </c>
    </row>
    <row r="25" spans="1:2" x14ac:dyDescent="0.25">
      <c r="A25" s="67">
        <v>3.28647289578173</v>
      </c>
      <c r="B25" s="67">
        <v>23</v>
      </c>
    </row>
    <row r="26" spans="1:2" x14ac:dyDescent="0.25">
      <c r="A26" s="67">
        <v>82.851016187505337</v>
      </c>
      <c r="B26" s="67">
        <v>24</v>
      </c>
    </row>
    <row r="27" spans="1:2" x14ac:dyDescent="0.25">
      <c r="A27" s="67">
        <v>40.571618518126954</v>
      </c>
      <c r="B27" s="67">
        <v>25</v>
      </c>
    </row>
    <row r="28" spans="1:2" x14ac:dyDescent="0.25">
      <c r="A28" s="67">
        <v>67.452726823954251</v>
      </c>
      <c r="B28" s="67">
        <v>26</v>
      </c>
    </row>
    <row r="29" spans="1:2" x14ac:dyDescent="0.25">
      <c r="A29" s="67">
        <v>38.561280415654778</v>
      </c>
      <c r="B29" s="67">
        <v>27</v>
      </c>
    </row>
    <row r="30" spans="1:2" x14ac:dyDescent="0.25">
      <c r="A30" s="67">
        <v>14.135316160570513</v>
      </c>
      <c r="B30" s="67">
        <v>28</v>
      </c>
    </row>
    <row r="31" spans="1:2" x14ac:dyDescent="0.25">
      <c r="A31" s="67">
        <v>65.469362896619998</v>
      </c>
      <c r="B31" s="67">
        <v>29</v>
      </c>
    </row>
    <row r="32" spans="1:2" x14ac:dyDescent="0.25">
      <c r="A32" s="67">
        <v>53.154256545544719</v>
      </c>
      <c r="B32" s="67">
        <v>30</v>
      </c>
    </row>
    <row r="33" spans="1:2" x14ac:dyDescent="0.25">
      <c r="A33" s="67">
        <v>96.019829202452598</v>
      </c>
      <c r="B33" s="67">
        <v>31</v>
      </c>
    </row>
    <row r="34" spans="1:2" x14ac:dyDescent="0.25">
      <c r="A34" s="67">
        <v>48.206747159458111</v>
      </c>
      <c r="B34" s="67">
        <v>32</v>
      </c>
    </row>
    <row r="35" spans="1:2" x14ac:dyDescent="0.25">
      <c r="A35" s="67">
        <v>52.703340608954122</v>
      </c>
      <c r="B35" s="67">
        <v>33</v>
      </c>
    </row>
    <row r="36" spans="1:2" x14ac:dyDescent="0.25">
      <c r="A36" s="67">
        <v>69.278481355532293</v>
      </c>
      <c r="B36" s="67">
        <v>34</v>
      </c>
    </row>
    <row r="37" spans="1:2" x14ac:dyDescent="0.25">
      <c r="A37" s="67">
        <v>33.795856979580527</v>
      </c>
      <c r="B37" s="67">
        <v>35</v>
      </c>
    </row>
    <row r="38" spans="1:2" x14ac:dyDescent="0.25">
      <c r="A38" s="67">
        <v>93.602371725068593</v>
      </c>
      <c r="B38" s="67">
        <v>36</v>
      </c>
    </row>
    <row r="39" spans="1:2" x14ac:dyDescent="0.25">
      <c r="A39" s="67">
        <v>16.319898011311842</v>
      </c>
      <c r="B39" s="67">
        <v>37</v>
      </c>
    </row>
    <row r="40" spans="1:2" x14ac:dyDescent="0.25">
      <c r="A40" s="67">
        <v>40.064741317212928</v>
      </c>
      <c r="B40" s="67">
        <v>38</v>
      </c>
    </row>
    <row r="41" spans="1:2" x14ac:dyDescent="0.25">
      <c r="A41" s="67">
        <v>40.96295598007876</v>
      </c>
      <c r="B41" s="67">
        <v>39</v>
      </c>
    </row>
    <row r="42" spans="1:2" x14ac:dyDescent="0.25">
      <c r="A42" s="67">
        <v>47.821409230968641</v>
      </c>
      <c r="B42" s="67">
        <v>40</v>
      </c>
    </row>
    <row r="43" spans="1:2" x14ac:dyDescent="0.25">
      <c r="A43" s="67">
        <v>99.807736789718149</v>
      </c>
      <c r="B43" s="67">
        <v>41</v>
      </c>
    </row>
    <row r="44" spans="1:2" x14ac:dyDescent="0.25">
      <c r="A44" s="67">
        <v>2.3911882668692566</v>
      </c>
      <c r="B44" s="67">
        <v>42</v>
      </c>
    </row>
    <row r="45" spans="1:2" x14ac:dyDescent="0.25">
      <c r="A45" s="67">
        <v>84.462489133916094</v>
      </c>
      <c r="B45" s="67">
        <v>43</v>
      </c>
    </row>
    <row r="46" spans="1:2" x14ac:dyDescent="0.25">
      <c r="A46" s="67">
        <v>25.999510253779363</v>
      </c>
      <c r="B46" s="67">
        <v>44</v>
      </c>
    </row>
    <row r="47" spans="1:2" x14ac:dyDescent="0.25">
      <c r="A47" s="67">
        <v>47.213993709168392</v>
      </c>
      <c r="B47" s="67">
        <v>45</v>
      </c>
    </row>
    <row r="48" spans="1:2" x14ac:dyDescent="0.25">
      <c r="A48" s="67">
        <v>53.749610043014215</v>
      </c>
      <c r="B48" s="67">
        <v>46</v>
      </c>
    </row>
    <row r="49" spans="1:2" x14ac:dyDescent="0.25">
      <c r="A49" s="67">
        <v>12.174223089671797</v>
      </c>
      <c r="B49" s="67">
        <v>47</v>
      </c>
    </row>
    <row r="50" spans="1:2" x14ac:dyDescent="0.25">
      <c r="A50" s="67">
        <v>91.748317140968666</v>
      </c>
      <c r="B50" s="67">
        <v>48</v>
      </c>
    </row>
    <row r="51" spans="1:2" x14ac:dyDescent="0.25">
      <c r="A51" s="67">
        <v>67.782234152677574</v>
      </c>
      <c r="B51" s="67">
        <v>49</v>
      </c>
    </row>
    <row r="52" spans="1:2" x14ac:dyDescent="0.25">
      <c r="A52" s="67">
        <v>38.338341348962082</v>
      </c>
      <c r="B52" s="67">
        <v>50</v>
      </c>
    </row>
    <row r="53" spans="1:2" x14ac:dyDescent="0.25">
      <c r="A53" s="67">
        <v>93.258200768967242</v>
      </c>
      <c r="B53" s="67">
        <v>51</v>
      </c>
    </row>
    <row r="54" spans="1:2" x14ac:dyDescent="0.25">
      <c r="A54" s="67">
        <v>63.543181989129252</v>
      </c>
      <c r="B54" s="67">
        <v>52</v>
      </c>
    </row>
    <row r="55" spans="1:2" x14ac:dyDescent="0.25">
      <c r="A55" s="67">
        <v>16.434596812554915</v>
      </c>
      <c r="B55" s="67">
        <v>53</v>
      </c>
    </row>
    <row r="56" spans="1:2" x14ac:dyDescent="0.25">
      <c r="A56" s="67">
        <v>97.750924945692958</v>
      </c>
      <c r="B56" s="67">
        <v>54</v>
      </c>
    </row>
    <row r="57" spans="1:2" x14ac:dyDescent="0.25">
      <c r="A57" s="67">
        <v>22.015356329276859</v>
      </c>
      <c r="B57" s="67">
        <v>55</v>
      </c>
    </row>
    <row r="58" spans="1:2" x14ac:dyDescent="0.25">
      <c r="A58" s="67">
        <v>28.243463872113946</v>
      </c>
      <c r="B58" s="67">
        <v>56</v>
      </c>
    </row>
    <row r="59" spans="1:2" x14ac:dyDescent="0.25">
      <c r="A59" s="67">
        <v>18.459191833836581</v>
      </c>
      <c r="B59" s="67">
        <v>57</v>
      </c>
    </row>
    <row r="60" spans="1:2" x14ac:dyDescent="0.25">
      <c r="A60" s="67">
        <v>93.052494243277465</v>
      </c>
      <c r="B60" s="67">
        <v>58</v>
      </c>
    </row>
    <row r="61" spans="1:2" x14ac:dyDescent="0.25">
      <c r="A61" s="67">
        <v>32.491206998234247</v>
      </c>
      <c r="B61" s="67">
        <v>59</v>
      </c>
    </row>
    <row r="62" spans="1:2" x14ac:dyDescent="0.25">
      <c r="A62" s="67">
        <v>8.397874565980338</v>
      </c>
      <c r="B62" s="67">
        <v>60</v>
      </c>
    </row>
    <row r="63" spans="1:2" x14ac:dyDescent="0.25">
      <c r="A63" s="67">
        <v>18.619490423528241</v>
      </c>
      <c r="B63" s="67">
        <v>61</v>
      </c>
    </row>
    <row r="64" spans="1:2" x14ac:dyDescent="0.25">
      <c r="A64" s="67">
        <v>94.852026363300169</v>
      </c>
      <c r="B64" s="67">
        <v>62</v>
      </c>
    </row>
    <row r="65" spans="1:2" x14ac:dyDescent="0.25">
      <c r="A65" s="67">
        <v>84.931771077649572</v>
      </c>
      <c r="B65" s="67">
        <v>63</v>
      </c>
    </row>
    <row r="66" spans="1:2" x14ac:dyDescent="0.25">
      <c r="A66" s="67">
        <v>71.148865889361531</v>
      </c>
      <c r="B66" s="67">
        <v>64</v>
      </c>
    </row>
    <row r="67" spans="1:2" x14ac:dyDescent="0.25">
      <c r="A67" s="67">
        <v>72.757630084062754</v>
      </c>
      <c r="B67" s="67">
        <v>65</v>
      </c>
    </row>
    <row r="68" spans="1:2" x14ac:dyDescent="0.25">
      <c r="A68" s="67">
        <v>42.460130035160169</v>
      </c>
      <c r="B68" s="67">
        <v>66</v>
      </c>
    </row>
    <row r="69" spans="1:2" x14ac:dyDescent="0.25">
      <c r="A69" s="67">
        <v>52.461510455450743</v>
      </c>
      <c r="B69" s="67">
        <v>67</v>
      </c>
    </row>
    <row r="70" spans="1:2" x14ac:dyDescent="0.25">
      <c r="A70" s="67">
        <v>39.965764265491515</v>
      </c>
      <c r="B70" s="67">
        <v>68</v>
      </c>
    </row>
    <row r="71" spans="1:2" x14ac:dyDescent="0.25">
      <c r="A71" s="67">
        <v>6.5884931043668145</v>
      </c>
      <c r="B71" s="67">
        <v>69</v>
      </c>
    </row>
    <row r="72" spans="1:2" x14ac:dyDescent="0.25">
      <c r="A72" s="67">
        <v>1.9192464658614465</v>
      </c>
      <c r="B72" s="67">
        <v>70</v>
      </c>
    </row>
    <row r="73" spans="1:2" x14ac:dyDescent="0.25">
      <c r="A73" s="67">
        <v>59.413182297448245</v>
      </c>
      <c r="B73" s="67">
        <v>71</v>
      </c>
    </row>
    <row r="74" spans="1:2" x14ac:dyDescent="0.25">
      <c r="A74" s="67">
        <v>4.2268754934085884</v>
      </c>
      <c r="B74" s="67">
        <v>72</v>
      </c>
    </row>
    <row r="75" spans="1:2" x14ac:dyDescent="0.25">
      <c r="A75" s="67">
        <v>35.868957608877196</v>
      </c>
      <c r="B75" s="67">
        <v>73</v>
      </c>
    </row>
    <row r="76" spans="1:2" x14ac:dyDescent="0.25">
      <c r="A76" s="67">
        <v>63.634663756766663</v>
      </c>
      <c r="B76" s="67">
        <v>74</v>
      </c>
    </row>
    <row r="77" spans="1:2" x14ac:dyDescent="0.25">
      <c r="A77" s="67">
        <v>15.68203937061226</v>
      </c>
      <c r="B77" s="67">
        <v>75</v>
      </c>
    </row>
    <row r="78" spans="1:2" x14ac:dyDescent="0.25">
      <c r="A78" s="67">
        <v>97.30974510186806</v>
      </c>
      <c r="B78" s="67">
        <v>76</v>
      </c>
    </row>
    <row r="79" spans="1:2" x14ac:dyDescent="0.25">
      <c r="A79" s="67">
        <v>93.666456916214173</v>
      </c>
      <c r="B79" s="67">
        <v>77</v>
      </c>
    </row>
    <row r="80" spans="1:2" x14ac:dyDescent="0.25">
      <c r="A80" s="67">
        <v>77.286962642002365</v>
      </c>
      <c r="B80" s="67">
        <v>78</v>
      </c>
    </row>
    <row r="81" spans="1:2" x14ac:dyDescent="0.25">
      <c r="A81" s="67">
        <v>35.637022478336945</v>
      </c>
      <c r="B81" s="67">
        <v>79</v>
      </c>
    </row>
    <row r="82" spans="1:2" x14ac:dyDescent="0.25">
      <c r="A82" s="67">
        <v>86.822008475112739</v>
      </c>
      <c r="B82" s="67">
        <v>80</v>
      </c>
    </row>
    <row r="83" spans="1:2" x14ac:dyDescent="0.25">
      <c r="A83" s="67">
        <v>55.278503734282445</v>
      </c>
      <c r="B83" s="67">
        <v>81</v>
      </c>
    </row>
    <row r="84" spans="1:2" x14ac:dyDescent="0.25">
      <c r="A84" s="67">
        <v>46.812963274686112</v>
      </c>
      <c r="B84" s="67">
        <v>82</v>
      </c>
    </row>
    <row r="85" spans="1:2" x14ac:dyDescent="0.25">
      <c r="A85" s="67">
        <v>46.35308200789293</v>
      </c>
      <c r="B85" s="67">
        <v>83</v>
      </c>
    </row>
    <row r="86" spans="1:2" x14ac:dyDescent="0.25">
      <c r="A86" s="67">
        <v>27.131021547657912</v>
      </c>
      <c r="B86" s="67">
        <v>84</v>
      </c>
    </row>
    <row r="87" spans="1:2" x14ac:dyDescent="0.25">
      <c r="A87" s="67">
        <v>59.896055776577469</v>
      </c>
      <c r="B87" s="67">
        <v>85</v>
      </c>
    </row>
    <row r="88" spans="1:2" x14ac:dyDescent="0.25">
      <c r="A88" s="67">
        <v>32.476647213323346</v>
      </c>
      <c r="B88" s="67">
        <v>86</v>
      </c>
    </row>
    <row r="89" spans="1:2" x14ac:dyDescent="0.25">
      <c r="A89" s="67">
        <v>31.772150346903199</v>
      </c>
      <c r="B89" s="67">
        <v>87</v>
      </c>
    </row>
    <row r="90" spans="1:2" x14ac:dyDescent="0.25">
      <c r="A90" s="67">
        <v>54.952415663261156</v>
      </c>
      <c r="B90" s="67">
        <v>88</v>
      </c>
    </row>
    <row r="91" spans="1:2" x14ac:dyDescent="0.25">
      <c r="A91" s="67">
        <v>47.263125026255437</v>
      </c>
      <c r="B91" s="67">
        <v>89</v>
      </c>
    </row>
    <row r="92" spans="1:2" x14ac:dyDescent="0.25">
      <c r="A92" s="67">
        <v>5.5523931074665827</v>
      </c>
      <c r="B92" s="67">
        <v>90</v>
      </c>
    </row>
    <row r="93" spans="1:2" x14ac:dyDescent="0.25">
      <c r="A93" s="67">
        <v>75.143179891232009</v>
      </c>
      <c r="B93" s="67">
        <v>91</v>
      </c>
    </row>
    <row r="94" spans="1:2" x14ac:dyDescent="0.25">
      <c r="A94" s="67">
        <v>23.267403768034374</v>
      </c>
      <c r="B94" s="67">
        <v>92</v>
      </c>
    </row>
    <row r="95" spans="1:2" x14ac:dyDescent="0.25">
      <c r="A95" s="67">
        <v>7.5735343189786803</v>
      </c>
      <c r="B95" s="67">
        <v>93</v>
      </c>
    </row>
    <row r="96" spans="1:2" x14ac:dyDescent="0.25">
      <c r="A96" s="67">
        <v>32.565081414098422</v>
      </c>
      <c r="B96" s="67">
        <v>94</v>
      </c>
    </row>
    <row r="97" spans="1:2" x14ac:dyDescent="0.25">
      <c r="A97" s="67">
        <v>29.201918807440396</v>
      </c>
      <c r="B97" s="67">
        <v>95</v>
      </c>
    </row>
    <row r="98" spans="1:2" x14ac:dyDescent="0.25">
      <c r="A98" s="67">
        <v>4.9557104264179763</v>
      </c>
      <c r="B98" s="67">
        <v>96</v>
      </c>
    </row>
    <row r="99" spans="1:2" x14ac:dyDescent="0.25">
      <c r="A99" s="67">
        <v>17.459417189219696</v>
      </c>
      <c r="B99" s="67">
        <v>97</v>
      </c>
    </row>
    <row r="100" spans="1:2" x14ac:dyDescent="0.25">
      <c r="A100" s="67">
        <v>13.313623244554559</v>
      </c>
      <c r="B100" s="67">
        <v>98</v>
      </c>
    </row>
    <row r="101" spans="1:2" x14ac:dyDescent="0.25">
      <c r="A101" s="67">
        <v>53.241880169716602</v>
      </c>
      <c r="B101" s="67">
        <v>99</v>
      </c>
    </row>
    <row r="102" spans="1:2" x14ac:dyDescent="0.25">
      <c r="A102" s="67"/>
      <c r="B102" s="67"/>
    </row>
  </sheetData>
  <sheetProtection sheet="1" objects="1" scenarios="1" formatColumns="0" formatRows="0" insertRows="0" deleteRows="0" sort="0" autoFilter="0" pivotTables="0"/>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C6B57-C682-4857-9256-8DEAB05DEE3B}">
  <sheetPr codeName="AppCoverSheet"/>
  <dimension ref="B4:G4"/>
  <sheetViews>
    <sheetView showGridLines="0" tabSelected="1" workbookViewId="0">
      <selection activeCell="G4" sqref="G4"/>
    </sheetView>
  </sheetViews>
  <sheetFormatPr baseColWidth="10" defaultRowHeight="12" x14ac:dyDescent="0.2"/>
  <cols>
    <col min="1" max="5" width="4.140625" style="1" customWidth="1"/>
    <col min="6" max="6" width="16.140625" style="1" customWidth="1"/>
    <col min="7" max="7" width="52.140625" style="1" customWidth="1"/>
    <col min="8" max="8" width="3.28515625" style="1" customWidth="1"/>
    <col min="9" max="9" width="24.7109375" style="1" customWidth="1"/>
    <col min="10" max="10" width="3.28515625" style="1" customWidth="1"/>
    <col min="11" max="11" width="56.42578125" style="1" customWidth="1"/>
    <col min="12" max="16384" width="11.42578125" style="1"/>
  </cols>
  <sheetData>
    <row r="4" spans="2:7" x14ac:dyDescent="0.2">
      <c r="B4" s="1" t="s">
        <v>80</v>
      </c>
      <c r="G4" s="1" t="str">
        <f>GetAppVersionString()</f>
        <v>0|02|00|Alfa</v>
      </c>
    </row>
  </sheetData>
  <sheetProtection sheet="1" objects="1" scenarios="1" formatColumns="0" formatRows="0" insertRows="0" deleteRows="0" sort="0" autoFilter="0" pivotTables="0"/>
  <dataConsolid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2D3A1-11B6-4C95-AA22-84018E00501E}">
  <sheetPr codeName="BlankTemplate"/>
  <dimension ref="A1"/>
  <sheetViews>
    <sheetView showGridLines="0" workbookViewId="0"/>
  </sheetViews>
  <sheetFormatPr baseColWidth="10" defaultRowHeight="12" x14ac:dyDescent="0.2"/>
  <cols>
    <col min="1" max="5" width="4.140625" style="1" customWidth="1"/>
    <col min="6" max="6" width="16.140625" style="1" customWidth="1"/>
    <col min="7" max="7" width="52.140625" style="1" customWidth="1"/>
    <col min="8" max="8" width="3.28515625" style="1" customWidth="1"/>
    <col min="9" max="9" width="24.7109375" style="1" customWidth="1"/>
    <col min="10" max="10" width="3.28515625" style="1" customWidth="1"/>
    <col min="11" max="11" width="56.42578125" style="1" customWidth="1"/>
    <col min="12" max="16384" width="11.42578125" style="1"/>
  </cols>
  <sheetData/>
  <sheetProtection sheet="1" objects="1" scenarios="1" formatColumns="0" formatRows="0" insertRows="0" deleteRows="0" sort="0" autoFilter="0" pivotTables="0"/>
  <dataConsolid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0689B-63AD-491F-9BC4-6E536E0F8BCA}">
  <sheetPr codeName="AppParamSheet"/>
  <dimension ref="A1:G27"/>
  <sheetViews>
    <sheetView showGridLines="0" workbookViewId="0"/>
  </sheetViews>
  <sheetFormatPr baseColWidth="10" defaultRowHeight="12" customHeight="1" outlineLevelRow="1" x14ac:dyDescent="0.2"/>
  <cols>
    <col min="1" max="5" width="4.140625" style="1" customWidth="1"/>
    <col min="6" max="6" width="16.140625" style="1" customWidth="1"/>
    <col min="7" max="7" width="52.140625" style="1" customWidth="1"/>
    <col min="8" max="8" width="3.28515625" style="1" customWidth="1"/>
    <col min="9" max="9" width="24.7109375" style="1" customWidth="1"/>
    <col min="10" max="10" width="3.28515625" style="1" customWidth="1"/>
    <col min="11" max="11" width="56.42578125" style="1" customWidth="1"/>
    <col min="12" max="16384" width="11.42578125" style="1"/>
  </cols>
  <sheetData>
    <row r="1" spans="1:7" x14ac:dyDescent="0.2">
      <c r="A1" s="1" t="s">
        <v>81</v>
      </c>
    </row>
    <row r="3" spans="1:7" x14ac:dyDescent="0.2">
      <c r="B3" s="1" t="s">
        <v>82</v>
      </c>
      <c r="G3" s="49" t="s">
        <v>83</v>
      </c>
    </row>
    <row r="4" spans="1:7" x14ac:dyDescent="0.2">
      <c r="B4" s="1" t="s">
        <v>84</v>
      </c>
      <c r="G4" s="49" t="s">
        <v>85</v>
      </c>
    </row>
    <row r="5" spans="1:7" x14ac:dyDescent="0.2">
      <c r="B5" s="1" t="s">
        <v>86</v>
      </c>
      <c r="G5" s="49" t="s">
        <v>87</v>
      </c>
    </row>
    <row r="6" spans="1:7" x14ac:dyDescent="0.2">
      <c r="B6" s="1" t="s">
        <v>88</v>
      </c>
      <c r="G6" s="43">
        <v>43768</v>
      </c>
    </row>
    <row r="23" ht="12" hidden="1" customHeight="1" outlineLevel="1" x14ac:dyDescent="0.2"/>
    <row r="24" ht="12" hidden="1" customHeight="1" outlineLevel="1" x14ac:dyDescent="0.2"/>
    <row r="25" ht="12" hidden="1" customHeight="1" outlineLevel="1" x14ac:dyDescent="0.2"/>
    <row r="26" ht="12" hidden="1" customHeight="1" outlineLevel="1" x14ac:dyDescent="0.2"/>
    <row r="27" ht="12" customHeight="1" collapsed="1" x14ac:dyDescent="0.2"/>
  </sheetData>
  <sheetProtection sheet="1" objects="1" scenarios="1" formatColumns="0" formatRows="0" insertRows="0" deleteRows="0" sort="0" autoFilter="0" pivotTables="0"/>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8C887-F418-404D-B099-32303EE99505}">
  <sheetPr codeName="AppConfigSheet"/>
  <dimension ref="B2:I17"/>
  <sheetViews>
    <sheetView showGridLines="0" workbookViewId="0"/>
  </sheetViews>
  <sheetFormatPr baseColWidth="10" defaultRowHeight="12" customHeight="1" outlineLevelRow="2" x14ac:dyDescent="0.2"/>
  <cols>
    <col min="1" max="5" width="4.140625" style="1" customWidth="1"/>
    <col min="6" max="6" width="16.140625" style="1" customWidth="1"/>
    <col min="7" max="7" width="52.140625" style="1" customWidth="1"/>
    <col min="8" max="8" width="3.28515625" style="1" customWidth="1"/>
    <col min="9" max="9" width="24.7109375" style="1" customWidth="1"/>
    <col min="10" max="11" width="10.28515625" style="1" customWidth="1"/>
    <col min="12" max="16384" width="11.42578125" style="1"/>
  </cols>
  <sheetData>
    <row r="2" spans="2:9" x14ac:dyDescent="0.2">
      <c r="B2" s="1" t="s">
        <v>89</v>
      </c>
    </row>
    <row r="5" spans="2:9" x14ac:dyDescent="0.2">
      <c r="B5" s="1" t="s">
        <v>90</v>
      </c>
      <c r="G5" s="13" t="s">
        <v>91</v>
      </c>
      <c r="I5" s="1" t="s">
        <v>92</v>
      </c>
    </row>
    <row r="7" spans="2:9" x14ac:dyDescent="0.2">
      <c r="B7" s="1" t="s">
        <v>93</v>
      </c>
      <c r="G7" s="13" t="s">
        <v>94</v>
      </c>
      <c r="I7" s="1" t="s">
        <v>95</v>
      </c>
    </row>
    <row r="8" spans="2:9" x14ac:dyDescent="0.2">
      <c r="B8" s="1" t="s">
        <v>96</v>
      </c>
      <c r="G8" s="13" t="s">
        <v>94</v>
      </c>
    </row>
    <row r="9" spans="2:9" x14ac:dyDescent="0.2">
      <c r="B9" s="1" t="s">
        <v>97</v>
      </c>
      <c r="G9" s="13" t="s">
        <v>98</v>
      </c>
    </row>
    <row r="11" spans="2:9" hidden="1" outlineLevel="1" x14ac:dyDescent="0.2">
      <c r="B11" s="1" t="s">
        <v>99</v>
      </c>
      <c r="G11" s="13" t="s">
        <v>100</v>
      </c>
    </row>
    <row r="12" spans="2:9" hidden="1" outlineLevel="2" x14ac:dyDescent="0.2">
      <c r="B12" s="1" t="s">
        <v>101</v>
      </c>
      <c r="G12" s="13" t="s">
        <v>102</v>
      </c>
    </row>
    <row r="13" spans="2:9" hidden="1" outlineLevel="2" x14ac:dyDescent="0.2">
      <c r="B13" s="1" t="s">
        <v>103</v>
      </c>
      <c r="G13" s="13" t="s">
        <v>104</v>
      </c>
    </row>
    <row r="14" spans="2:9" hidden="1" outlineLevel="2" x14ac:dyDescent="0.2">
      <c r="B14" s="1" t="s">
        <v>105</v>
      </c>
      <c r="G14" s="13" t="s">
        <v>106</v>
      </c>
    </row>
    <row r="15" spans="2:9" hidden="1" outlineLevel="1" x14ac:dyDescent="0.2">
      <c r="B15" s="1" t="s">
        <v>107</v>
      </c>
      <c r="G15" s="13" t="s">
        <v>108</v>
      </c>
    </row>
    <row r="16" spans="2:9" hidden="1" outlineLevel="1" x14ac:dyDescent="0.2">
      <c r="B16" s="1" t="s">
        <v>109</v>
      </c>
      <c r="G16" s="13" t="s">
        <v>110</v>
      </c>
    </row>
    <row r="17" ht="12" customHeight="1" collapsed="1" x14ac:dyDescent="0.2"/>
  </sheetData>
  <sheetProtection sheet="1" objects="1" scenarios="1" formatColumns="0" formatRows="0" insertRows="0" deleteRows="0" sort="0" autoFilter="0" pivotTables="0"/>
  <dataConsolidate/>
  <dataValidations count="2">
    <dataValidation type="list" allowBlank="1" showInputMessage="1" showErrorMessage="1" error="Seleccione una opción del listado" prompt="Define la pestaña que se activa en la cinta de opciones cuando se abre el archivo" sqref="G5" xr:uid="{0636E2E0-0814-4559-A5A4-7326062FB1AB}">
      <formula1>LIS_PestanaCinOpciones_Nombre</formula1>
    </dataValidation>
    <dataValidation type="list" allowBlank="1" showInputMessage="1" showErrorMessage="1" prompt="Seleccione un valor de la lista" sqref="G7 G9" xr:uid="{90FA355E-E77F-4DDB-AB87-A740B82449B2}">
      <formula1>"Si,No"</formula1>
    </dataValidation>
  </dataValidations>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24BB4-A6CA-4B77-815F-4CC16E5CF35C}">
  <sheetPr codeName="AppPerfReport"/>
  <dimension ref="B1:O27"/>
  <sheetViews>
    <sheetView showGridLines="0" workbookViewId="0"/>
  </sheetViews>
  <sheetFormatPr baseColWidth="10" defaultRowHeight="12" customHeight="1" x14ac:dyDescent="0.2"/>
  <cols>
    <col min="1" max="1" width="4.140625" style="1" customWidth="1"/>
    <col min="2" max="2" width="32" style="1" bestFit="1" customWidth="1"/>
    <col min="3" max="6" width="23.42578125" style="1" bestFit="1" customWidth="1"/>
    <col min="7" max="7" width="23.28515625" style="1" bestFit="1" customWidth="1"/>
    <col min="8" max="9" width="23.42578125" style="1" bestFit="1" customWidth="1"/>
    <col min="10" max="14" width="22.42578125" style="1" bestFit="1" customWidth="1"/>
    <col min="15" max="15" width="12.5703125" style="1" bestFit="1" customWidth="1"/>
    <col min="16" max="16384" width="11.42578125" style="1"/>
  </cols>
  <sheetData>
    <row r="1" spans="2:15" x14ac:dyDescent="0.2">
      <c r="B1" s="1" t="s">
        <v>111</v>
      </c>
    </row>
    <row r="5" spans="2:15" ht="15" x14ac:dyDescent="0.25">
      <c r="B5" s="63" t="s">
        <v>112</v>
      </c>
      <c r="C5" t="s">
        <v>113</v>
      </c>
    </row>
    <row r="6" spans="2:15" ht="15" x14ac:dyDescent="0.25">
      <c r="B6" s="63" t="s">
        <v>114</v>
      </c>
      <c r="C6" t="s">
        <v>113</v>
      </c>
    </row>
    <row r="8" spans="2:15" ht="15" x14ac:dyDescent="0.25">
      <c r="B8" s="63" t="s">
        <v>115</v>
      </c>
      <c r="C8" s="63" t="s">
        <v>116</v>
      </c>
      <c r="D8"/>
      <c r="E8"/>
      <c r="F8"/>
      <c r="G8"/>
      <c r="H8"/>
      <c r="I8"/>
      <c r="J8"/>
      <c r="K8"/>
      <c r="L8"/>
      <c r="M8"/>
      <c r="N8"/>
      <c r="O8"/>
    </row>
    <row r="9" spans="2:15" ht="15" x14ac:dyDescent="0.25">
      <c r="B9" s="63" t="s">
        <v>117</v>
      </c>
      <c r="C9" t="s">
        <v>118</v>
      </c>
      <c r="D9" t="s">
        <v>119</v>
      </c>
      <c r="E9" t="s">
        <v>120</v>
      </c>
      <c r="F9" t="s">
        <v>121</v>
      </c>
      <c r="G9" t="s">
        <v>122</v>
      </c>
      <c r="H9" t="s">
        <v>395</v>
      </c>
      <c r="I9" t="s">
        <v>396</v>
      </c>
      <c r="J9" t="s">
        <v>398</v>
      </c>
      <c r="K9" t="s">
        <v>399</v>
      </c>
      <c r="L9" t="s">
        <v>400</v>
      </c>
      <c r="M9" t="s">
        <v>402</v>
      </c>
      <c r="N9" t="s">
        <v>406</v>
      </c>
      <c r="O9" t="s">
        <v>123</v>
      </c>
    </row>
    <row r="10" spans="2:15" ht="15" x14ac:dyDescent="0.25">
      <c r="B10" s="64" t="s">
        <v>124</v>
      </c>
      <c r="C10" s="65">
        <v>1.7576000000000001</v>
      </c>
      <c r="D10" s="65">
        <v>1.6892999999999998</v>
      </c>
      <c r="E10" s="65">
        <v>4.2968000000000002</v>
      </c>
      <c r="F10" s="65">
        <v>11.052499999999998</v>
      </c>
      <c r="G10" s="65">
        <v>5.7879000000000005</v>
      </c>
      <c r="H10" s="65">
        <v>2.3083</v>
      </c>
      <c r="I10" s="65">
        <v>1.9398</v>
      </c>
      <c r="J10" s="65">
        <v>1.4912999999999998</v>
      </c>
      <c r="K10" s="65">
        <v>3.9590000000000001</v>
      </c>
      <c r="L10" s="65"/>
      <c r="M10" s="65">
        <v>2.4784999999999999</v>
      </c>
      <c r="N10" s="65">
        <v>4.3896000000000006</v>
      </c>
      <c r="O10" s="65">
        <v>41.15059999999999</v>
      </c>
    </row>
    <row r="11" spans="2:15" ht="15" x14ac:dyDescent="0.25">
      <c r="B11" s="66" t="s">
        <v>125</v>
      </c>
      <c r="C11" s="65">
        <v>0.1547</v>
      </c>
      <c r="D11" s="65">
        <v>0.23400000000000001</v>
      </c>
      <c r="E11" s="65">
        <v>0.81859999999999999</v>
      </c>
      <c r="F11" s="65">
        <v>0.21010000000000001</v>
      </c>
      <c r="G11" s="65">
        <v>0.4078</v>
      </c>
      <c r="H11" s="65">
        <v>0.21740000000000001</v>
      </c>
      <c r="I11" s="65"/>
      <c r="J11" s="65"/>
      <c r="K11" s="65">
        <v>0.79549999999999998</v>
      </c>
      <c r="L11" s="65"/>
      <c r="M11" s="65">
        <v>0.2094</v>
      </c>
      <c r="N11" s="65">
        <v>0.25180000000000002</v>
      </c>
      <c r="O11" s="65">
        <v>3.2992999999999997</v>
      </c>
    </row>
    <row r="12" spans="2:15" ht="15" x14ac:dyDescent="0.25">
      <c r="B12" s="66" t="s">
        <v>126</v>
      </c>
      <c r="C12" s="65">
        <v>0.17480000000000001</v>
      </c>
      <c r="D12" s="65">
        <v>0.18260000000000001</v>
      </c>
      <c r="E12" s="65">
        <v>0.15620000000000001</v>
      </c>
      <c r="F12" s="65">
        <v>0.16719999999999999</v>
      </c>
      <c r="G12" s="65">
        <v>0.19450000000000001</v>
      </c>
      <c r="H12" s="65">
        <v>0.19320000000000001</v>
      </c>
      <c r="I12" s="65"/>
      <c r="J12" s="65"/>
      <c r="K12" s="65">
        <v>0.40310000000000001</v>
      </c>
      <c r="L12" s="65"/>
      <c r="M12" s="65">
        <v>0.22420000000000001</v>
      </c>
      <c r="N12" s="65">
        <v>0.23899999999999999</v>
      </c>
      <c r="O12" s="65">
        <v>1.9348000000000001</v>
      </c>
    </row>
    <row r="13" spans="2:15" ht="15" x14ac:dyDescent="0.25">
      <c r="B13" s="66" t="s">
        <v>127</v>
      </c>
      <c r="C13" s="65">
        <v>0.1588</v>
      </c>
      <c r="D13" s="65">
        <v>0.12379999999999999</v>
      </c>
      <c r="E13" s="65">
        <v>0.16189999999999999</v>
      </c>
      <c r="F13" s="65">
        <v>0.23899999999999999</v>
      </c>
      <c r="G13" s="65">
        <v>0.1973</v>
      </c>
      <c r="H13" s="65">
        <v>0.1676</v>
      </c>
      <c r="I13" s="65"/>
      <c r="J13" s="65"/>
      <c r="K13" s="65">
        <v>0.2374</v>
      </c>
      <c r="L13" s="65"/>
      <c r="M13" s="65">
        <v>0.15359999999999999</v>
      </c>
      <c r="N13" s="65">
        <v>0.1842</v>
      </c>
      <c r="O13" s="65">
        <v>1.6235999999999999</v>
      </c>
    </row>
    <row r="14" spans="2:15" ht="15" x14ac:dyDescent="0.25">
      <c r="B14" s="66" t="s">
        <v>128</v>
      </c>
      <c r="C14" s="65">
        <v>0.15629999999999999</v>
      </c>
      <c r="D14" s="65">
        <v>0.16520000000000001</v>
      </c>
      <c r="E14" s="65">
        <v>0.1777</v>
      </c>
      <c r="F14" s="65">
        <v>0.18279999999999999</v>
      </c>
      <c r="G14" s="65">
        <v>0.23619999999999999</v>
      </c>
      <c r="H14" s="65">
        <v>0.20419999999999999</v>
      </c>
      <c r="I14" s="65"/>
      <c r="J14" s="65"/>
      <c r="K14" s="65">
        <v>0.22450000000000001</v>
      </c>
      <c r="L14" s="65"/>
      <c r="M14" s="65">
        <v>0.15409999999999999</v>
      </c>
      <c r="N14" s="65">
        <v>0.2762</v>
      </c>
      <c r="O14" s="65">
        <v>1.7771999999999997</v>
      </c>
    </row>
    <row r="15" spans="2:15" ht="15" x14ac:dyDescent="0.25">
      <c r="B15" s="66" t="s">
        <v>129</v>
      </c>
      <c r="C15" s="65">
        <v>0.14899999999999999</v>
      </c>
      <c r="D15" s="65">
        <v>0.16300000000000001</v>
      </c>
      <c r="E15" s="65">
        <v>0.1706</v>
      </c>
      <c r="F15" s="65">
        <v>0.13250000000000001</v>
      </c>
      <c r="G15" s="65">
        <v>0.21210000000000001</v>
      </c>
      <c r="H15" s="65">
        <v>0.18160000000000001</v>
      </c>
      <c r="I15" s="65"/>
      <c r="J15" s="65"/>
      <c r="K15" s="65">
        <v>0.34539999999999998</v>
      </c>
      <c r="L15" s="65"/>
      <c r="M15" s="65">
        <v>0.19839999999999999</v>
      </c>
      <c r="N15" s="65">
        <v>0.24340000000000001</v>
      </c>
      <c r="O15" s="65">
        <v>1.7959999999999998</v>
      </c>
    </row>
    <row r="16" spans="2:15" ht="15" x14ac:dyDescent="0.25">
      <c r="B16" s="66" t="s">
        <v>130</v>
      </c>
      <c r="C16" s="65">
        <v>0.14199999999999999</v>
      </c>
      <c r="D16" s="65">
        <v>0.1762</v>
      </c>
      <c r="E16" s="65">
        <v>0.59150000000000003</v>
      </c>
      <c r="F16" s="65">
        <v>0.1615</v>
      </c>
      <c r="G16" s="65">
        <v>0.1933</v>
      </c>
      <c r="H16" s="65">
        <v>0.1794</v>
      </c>
      <c r="I16" s="65"/>
      <c r="J16" s="65">
        <v>0.249</v>
      </c>
      <c r="K16" s="65"/>
      <c r="L16" s="65"/>
      <c r="M16" s="65">
        <v>0.17749999999999999</v>
      </c>
      <c r="N16" s="65">
        <v>0.19159999999999999</v>
      </c>
      <c r="O16" s="65">
        <v>2.0619999999999998</v>
      </c>
    </row>
    <row r="17" spans="2:15" ht="15" x14ac:dyDescent="0.25">
      <c r="B17" s="66" t="s">
        <v>131</v>
      </c>
      <c r="C17" s="65">
        <v>0.1424</v>
      </c>
      <c r="D17" s="65">
        <v>0.14169999999999999</v>
      </c>
      <c r="E17" s="65">
        <v>0.2167</v>
      </c>
      <c r="F17" s="65">
        <v>0.1915</v>
      </c>
      <c r="G17" s="65">
        <v>0.20960000000000001</v>
      </c>
      <c r="H17" s="65">
        <v>0.17730000000000001</v>
      </c>
      <c r="I17" s="65"/>
      <c r="J17" s="65"/>
      <c r="K17" s="65">
        <v>0.1905</v>
      </c>
      <c r="L17" s="65"/>
      <c r="M17" s="65">
        <v>0.1724</v>
      </c>
      <c r="N17" s="65">
        <v>0.18160000000000001</v>
      </c>
      <c r="O17" s="65">
        <v>1.6237000000000004</v>
      </c>
    </row>
    <row r="18" spans="2:15" ht="15" x14ac:dyDescent="0.25">
      <c r="B18" s="66" t="s">
        <v>124</v>
      </c>
      <c r="C18" s="65">
        <v>0.15329999999999999</v>
      </c>
      <c r="D18" s="65">
        <v>0.1419</v>
      </c>
      <c r="E18" s="65">
        <v>1.4075</v>
      </c>
      <c r="F18" s="65">
        <v>0.20960000000000001</v>
      </c>
      <c r="G18" s="65">
        <v>0.66349999999999998</v>
      </c>
      <c r="H18" s="65">
        <v>0.1739</v>
      </c>
      <c r="I18" s="65"/>
      <c r="J18" s="65"/>
      <c r="K18" s="65">
        <v>0.30590000000000001</v>
      </c>
      <c r="L18" s="65"/>
      <c r="M18" s="65">
        <v>0.19819999999999999</v>
      </c>
      <c r="N18" s="65">
        <v>0.22950000000000001</v>
      </c>
      <c r="O18" s="65">
        <v>3.4832999999999998</v>
      </c>
    </row>
    <row r="19" spans="2:15" ht="15" x14ac:dyDescent="0.25">
      <c r="B19" s="66" t="s">
        <v>132</v>
      </c>
      <c r="C19" s="65">
        <v>0.18529999999999999</v>
      </c>
      <c r="D19" s="65">
        <v>9.2999999999999999E-2</v>
      </c>
      <c r="E19" s="65">
        <v>0.1585</v>
      </c>
      <c r="F19" s="65">
        <v>0.2359</v>
      </c>
      <c r="G19" s="65">
        <v>0.23719999999999999</v>
      </c>
      <c r="H19" s="65">
        <v>0.6331</v>
      </c>
      <c r="I19" s="65"/>
      <c r="J19" s="65">
        <v>0.83450000000000002</v>
      </c>
      <c r="K19" s="65"/>
      <c r="L19" s="65"/>
      <c r="M19" s="65">
        <v>0.22389999999999999</v>
      </c>
      <c r="N19" s="65">
        <v>0.4375</v>
      </c>
      <c r="O19" s="65">
        <v>3.0388999999999999</v>
      </c>
    </row>
    <row r="20" spans="2:15" ht="15" x14ac:dyDescent="0.25">
      <c r="B20" s="66" t="s">
        <v>133</v>
      </c>
      <c r="C20" s="65">
        <v>0.1595</v>
      </c>
      <c r="D20" s="65">
        <v>0.13100000000000001</v>
      </c>
      <c r="E20" s="65">
        <v>0.16900000000000001</v>
      </c>
      <c r="F20" s="65">
        <v>0.1895</v>
      </c>
      <c r="G20" s="65"/>
      <c r="H20" s="65"/>
      <c r="I20" s="65"/>
      <c r="J20" s="65"/>
      <c r="K20" s="65"/>
      <c r="L20" s="65"/>
      <c r="M20" s="65"/>
      <c r="N20" s="65"/>
      <c r="O20" s="65">
        <v>0.64900000000000002</v>
      </c>
    </row>
    <row r="21" spans="2:15" ht="15" x14ac:dyDescent="0.25">
      <c r="B21" s="66" t="s">
        <v>134</v>
      </c>
      <c r="C21" s="65">
        <v>0.18149999999999999</v>
      </c>
      <c r="D21" s="65">
        <v>0.13689999999999999</v>
      </c>
      <c r="E21" s="65">
        <v>0.127</v>
      </c>
      <c r="F21" s="65">
        <v>8.7913999999999994</v>
      </c>
      <c r="G21" s="65">
        <v>2.4100999999999999</v>
      </c>
      <c r="H21" s="65"/>
      <c r="I21" s="65"/>
      <c r="J21" s="65"/>
      <c r="K21" s="65"/>
      <c r="L21" s="65"/>
      <c r="M21" s="65"/>
      <c r="N21" s="65"/>
      <c r="O21" s="65">
        <v>11.646899999999999</v>
      </c>
    </row>
    <row r="22" spans="2:15" ht="15" x14ac:dyDescent="0.25">
      <c r="B22" s="66" t="s">
        <v>135</v>
      </c>
      <c r="C22" s="65"/>
      <c r="D22" s="65"/>
      <c r="E22" s="65">
        <v>0.1416</v>
      </c>
      <c r="F22" s="65">
        <v>0.34150000000000003</v>
      </c>
      <c r="G22" s="65">
        <v>0.82630000000000003</v>
      </c>
      <c r="H22" s="65">
        <v>0.18060000000000001</v>
      </c>
      <c r="I22" s="65"/>
      <c r="J22" s="65">
        <v>0.4078</v>
      </c>
      <c r="K22" s="65"/>
      <c r="L22" s="65"/>
      <c r="M22" s="65">
        <v>0.185</v>
      </c>
      <c r="N22" s="65">
        <v>0.18629999999999999</v>
      </c>
      <c r="O22" s="65">
        <v>2.2691000000000003</v>
      </c>
    </row>
    <row r="23" spans="2:15" ht="15" x14ac:dyDescent="0.25">
      <c r="B23" s="66" t="s">
        <v>397</v>
      </c>
      <c r="C23" s="65"/>
      <c r="D23" s="65"/>
      <c r="E23" s="65"/>
      <c r="F23" s="65"/>
      <c r="G23" s="65"/>
      <c r="H23" s="65"/>
      <c r="I23" s="65">
        <v>1.9398</v>
      </c>
      <c r="J23" s="65"/>
      <c r="K23" s="65">
        <v>1.4567000000000001</v>
      </c>
      <c r="L23" s="65"/>
      <c r="M23" s="65">
        <v>0.58179999999999998</v>
      </c>
      <c r="N23" s="65">
        <v>1.115</v>
      </c>
      <c r="O23" s="65">
        <v>5.0933000000000002</v>
      </c>
    </row>
    <row r="24" spans="2:15" ht="15" x14ac:dyDescent="0.25">
      <c r="B24" s="66" t="s">
        <v>407</v>
      </c>
      <c r="C24" s="65"/>
      <c r="D24" s="65"/>
      <c r="E24" s="65"/>
      <c r="F24" s="65"/>
      <c r="G24" s="65"/>
      <c r="H24" s="65"/>
      <c r="I24" s="65"/>
      <c r="J24" s="65"/>
      <c r="K24" s="65"/>
      <c r="L24" s="65"/>
      <c r="M24" s="65"/>
      <c r="N24" s="65">
        <v>0.85350000000000004</v>
      </c>
      <c r="O24" s="65">
        <v>0.85350000000000004</v>
      </c>
    </row>
    <row r="25" spans="2:15" ht="15" x14ac:dyDescent="0.25">
      <c r="B25" s="64" t="s">
        <v>401</v>
      </c>
      <c r="C25" s="65"/>
      <c r="D25" s="65"/>
      <c r="E25" s="65"/>
      <c r="F25" s="65"/>
      <c r="G25" s="65"/>
      <c r="H25" s="65"/>
      <c r="I25" s="65"/>
      <c r="J25" s="65"/>
      <c r="K25" s="65"/>
      <c r="L25" s="65">
        <v>0</v>
      </c>
      <c r="M25" s="65"/>
      <c r="N25" s="65"/>
      <c r="O25" s="65">
        <v>0</v>
      </c>
    </row>
    <row r="26" spans="2:15" ht="15" x14ac:dyDescent="0.25">
      <c r="B26" s="66" t="s">
        <v>403</v>
      </c>
      <c r="C26" s="65"/>
      <c r="D26" s="65"/>
      <c r="E26" s="65"/>
      <c r="F26" s="65"/>
      <c r="G26" s="65"/>
      <c r="H26" s="65"/>
      <c r="I26" s="65"/>
      <c r="J26" s="65"/>
      <c r="K26" s="65"/>
      <c r="L26" s="65">
        <v>0</v>
      </c>
      <c r="M26" s="65"/>
      <c r="N26" s="65"/>
      <c r="O26" s="65">
        <v>0</v>
      </c>
    </row>
    <row r="27" spans="2:15" ht="15" x14ac:dyDescent="0.25">
      <c r="B27" s="64" t="s">
        <v>123</v>
      </c>
      <c r="C27" s="65">
        <v>1.7576000000000001</v>
      </c>
      <c r="D27" s="65">
        <v>1.6892999999999998</v>
      </c>
      <c r="E27" s="65">
        <v>4.2968000000000002</v>
      </c>
      <c r="F27" s="65">
        <v>11.052499999999998</v>
      </c>
      <c r="G27" s="65">
        <v>5.7879000000000005</v>
      </c>
      <c r="H27" s="65">
        <v>2.3083</v>
      </c>
      <c r="I27" s="65">
        <v>1.9398</v>
      </c>
      <c r="J27" s="65">
        <v>1.4912999999999998</v>
      </c>
      <c r="K27" s="65">
        <v>3.9590000000000001</v>
      </c>
      <c r="L27" s="65">
        <v>0</v>
      </c>
      <c r="M27" s="65">
        <v>2.4784999999999999</v>
      </c>
      <c r="N27" s="65">
        <v>4.3896000000000006</v>
      </c>
      <c r="O27" s="65">
        <v>41.15059999999999</v>
      </c>
    </row>
  </sheetData>
  <sheetProtection sheet="1" objects="1" scenarios="1" formatColumns="0" formatRows="0" insertRows="0" deleteRows="0" sort="0" autoFilter="0" pivotTables="0"/>
  <pageMargins left="0.7" right="0.7" top="0.75" bottom="0.75" header="0.3" footer="0.3"/>
  <pageSetup orientation="portrait" horizontalDpi="300" verticalDpi="300"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E6518-7906-4E6A-85E9-7BD8E7006F74}">
  <sheetPr codeName="AppLogger"/>
  <dimension ref="B1:Q9"/>
  <sheetViews>
    <sheetView showGridLines="0" workbookViewId="0"/>
  </sheetViews>
  <sheetFormatPr baseColWidth="10" defaultRowHeight="12" customHeight="1" x14ac:dyDescent="0.2"/>
  <cols>
    <col min="1" max="5" width="4.140625" style="1" customWidth="1"/>
    <col min="6" max="6" width="17.85546875" style="1" customWidth="1"/>
    <col min="7" max="7" width="12.7109375" style="1" customWidth="1"/>
    <col min="8" max="8" width="13.7109375" style="1" customWidth="1"/>
    <col min="9" max="9" width="16.140625" style="1" customWidth="1"/>
    <col min="10" max="10" width="8.42578125" style="1" customWidth="1"/>
    <col min="11" max="11" width="24.7109375" style="1" customWidth="1"/>
    <col min="12" max="12" width="14.42578125" style="1" customWidth="1"/>
    <col min="13" max="13" width="15.85546875" style="1" customWidth="1"/>
    <col min="14" max="15" width="13.28515625" style="1" customWidth="1"/>
    <col min="16" max="16" width="17.28515625" style="1" customWidth="1"/>
    <col min="17" max="17" width="44.140625" style="1" customWidth="1"/>
    <col min="18" max="16384" width="11.42578125" style="1"/>
  </cols>
  <sheetData>
    <row r="1" spans="2:17" x14ac:dyDescent="0.2">
      <c r="B1" s="1" t="s">
        <v>131</v>
      </c>
    </row>
    <row r="5" spans="2:17" x14ac:dyDescent="0.2">
      <c r="B5" s="1" t="s">
        <v>136</v>
      </c>
    </row>
    <row r="7" spans="2:17" x14ac:dyDescent="0.2">
      <c r="F7" s="1" t="s">
        <v>9</v>
      </c>
      <c r="G7" s="1" t="s">
        <v>137</v>
      </c>
      <c r="H7" s="1" t="s">
        <v>112</v>
      </c>
      <c r="I7" s="1" t="s">
        <v>138</v>
      </c>
      <c r="J7" s="1" t="s">
        <v>80</v>
      </c>
      <c r="K7" s="1" t="s">
        <v>139</v>
      </c>
      <c r="L7" s="1" t="s">
        <v>114</v>
      </c>
      <c r="M7" s="1" t="s">
        <v>140</v>
      </c>
      <c r="N7" s="1" t="s">
        <v>141</v>
      </c>
      <c r="O7" s="1" t="s">
        <v>142</v>
      </c>
      <c r="P7" s="1" t="s">
        <v>143</v>
      </c>
      <c r="Q7" s="1" t="s">
        <v>144</v>
      </c>
    </row>
    <row r="8" spans="2:17" ht="12" customHeight="1" x14ac:dyDescent="0.2">
      <c r="F8" s="50"/>
      <c r="G8" s="50"/>
      <c r="H8" s="50"/>
      <c r="I8" s="50"/>
      <c r="J8" s="50"/>
      <c r="K8" s="50"/>
      <c r="L8" s="50"/>
      <c r="M8" s="50"/>
      <c r="N8" s="50"/>
      <c r="O8" s="50"/>
      <c r="P8" s="50"/>
      <c r="Q8" s="50"/>
    </row>
    <row r="9" spans="2:17" ht="12" customHeight="1" x14ac:dyDescent="0.2">
      <c r="F9" s="51"/>
      <c r="G9" s="51"/>
      <c r="H9" s="51"/>
      <c r="I9" s="51"/>
      <c r="J9" s="51"/>
      <c r="K9" s="51"/>
      <c r="L9" s="51"/>
      <c r="M9" s="51"/>
      <c r="N9" s="51"/>
      <c r="O9" s="51"/>
      <c r="P9" s="51"/>
      <c r="Q9" s="51"/>
    </row>
  </sheetData>
  <sheetProtection sheet="1" objects="1" scenarios="1" formatColumns="0" formatRows="0" insertRows="0" deleteRows="0" sort="0" autoFilter="0" pivotTables="0"/>
  <dataConsolidate/>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D71F6-1FD0-4E64-B788-5D4A9E3BEE19}">
  <sheetPr codeName="AppStyleSheet"/>
  <dimension ref="B2:I111"/>
  <sheetViews>
    <sheetView showGridLines="0" workbookViewId="0"/>
  </sheetViews>
  <sheetFormatPr baseColWidth="10" defaultRowHeight="12" customHeight="1" x14ac:dyDescent="0.2"/>
  <cols>
    <col min="1" max="1" width="4.140625" style="1" customWidth="1"/>
    <col min="2" max="5" width="18.140625" style="1" customWidth="1"/>
    <col min="6" max="6" width="16.140625" style="1" customWidth="1"/>
    <col min="7" max="7" width="3.7109375" style="1" customWidth="1"/>
    <col min="8" max="8" width="4.7109375" style="1" customWidth="1"/>
    <col min="9" max="9" width="24.7109375" style="1" customWidth="1"/>
    <col min="10" max="11" width="10.28515625" style="1" customWidth="1"/>
    <col min="12" max="16384" width="11.42578125" style="1"/>
  </cols>
  <sheetData>
    <row r="2" spans="2:9" ht="18.75" x14ac:dyDescent="0.2">
      <c r="B2" s="52" t="s">
        <v>145</v>
      </c>
      <c r="H2" s="52" t="s">
        <v>146</v>
      </c>
    </row>
    <row r="5" spans="2:9" x14ac:dyDescent="0.2">
      <c r="B5" s="1" t="s">
        <v>147</v>
      </c>
      <c r="C5" s="1" t="s">
        <v>148</v>
      </c>
      <c r="D5" s="1" t="s">
        <v>149</v>
      </c>
      <c r="E5" s="1" t="s">
        <v>150</v>
      </c>
      <c r="H5" s="1" t="s">
        <v>151</v>
      </c>
      <c r="I5" s="1" t="s">
        <v>82</v>
      </c>
    </row>
    <row r="6" spans="2:9" x14ac:dyDescent="0.2">
      <c r="B6" s="51" t="s">
        <v>152</v>
      </c>
      <c r="C6" s="51" t="s">
        <v>153</v>
      </c>
      <c r="D6" s="51"/>
      <c r="E6" s="51"/>
      <c r="H6" s="51" t="s">
        <v>154</v>
      </c>
      <c r="I6" s="51" t="s">
        <v>155</v>
      </c>
    </row>
    <row r="7" spans="2:9" x14ac:dyDescent="0.2">
      <c r="B7" s="51" t="s">
        <v>156</v>
      </c>
      <c r="C7" s="51" t="s">
        <v>153</v>
      </c>
      <c r="D7" s="51"/>
      <c r="E7" s="51"/>
      <c r="H7" s="51" t="s">
        <v>157</v>
      </c>
      <c r="I7" s="51" t="s">
        <v>158</v>
      </c>
    </row>
    <row r="8" spans="2:9" x14ac:dyDescent="0.2">
      <c r="B8" s="51" t="s">
        <v>159</v>
      </c>
      <c r="C8" s="51" t="s">
        <v>153</v>
      </c>
      <c r="D8" s="51"/>
      <c r="E8" s="51"/>
      <c r="H8" s="51" t="s">
        <v>160</v>
      </c>
      <c r="I8" s="51" t="s">
        <v>161</v>
      </c>
    </row>
    <row r="9" spans="2:9" x14ac:dyDescent="0.2">
      <c r="B9" s="51" t="s">
        <v>162</v>
      </c>
      <c r="C9" s="51" t="s">
        <v>153</v>
      </c>
      <c r="D9" s="51"/>
      <c r="E9" s="51"/>
      <c r="H9" s="51" t="s">
        <v>163</v>
      </c>
      <c r="I9" s="51" t="s">
        <v>164</v>
      </c>
    </row>
    <row r="10" spans="2:9" x14ac:dyDescent="0.2">
      <c r="B10" s="51" t="s">
        <v>165</v>
      </c>
      <c r="C10" s="51" t="s">
        <v>153</v>
      </c>
      <c r="D10" s="51"/>
      <c r="E10" s="51"/>
      <c r="H10" s="51" t="s">
        <v>166</v>
      </c>
      <c r="I10" s="51" t="s">
        <v>167</v>
      </c>
    </row>
    <row r="11" spans="2:9" x14ac:dyDescent="0.2">
      <c r="B11" s="51" t="s">
        <v>168</v>
      </c>
      <c r="C11" s="51" t="s">
        <v>153</v>
      </c>
      <c r="D11" s="51"/>
      <c r="E11" s="51"/>
      <c r="H11" s="51" t="s">
        <v>169</v>
      </c>
      <c r="I11" s="51" t="s">
        <v>170</v>
      </c>
    </row>
    <row r="12" spans="2:9" x14ac:dyDescent="0.2">
      <c r="B12" s="51" t="s">
        <v>171</v>
      </c>
      <c r="C12" s="51" t="s">
        <v>153</v>
      </c>
      <c r="D12" s="51"/>
      <c r="E12" s="51"/>
      <c r="H12" s="51" t="s">
        <v>172</v>
      </c>
      <c r="I12" s="51" t="s">
        <v>173</v>
      </c>
    </row>
    <row r="13" spans="2:9" x14ac:dyDescent="0.2">
      <c r="B13" s="51" t="s">
        <v>174</v>
      </c>
      <c r="C13" s="51" t="s">
        <v>153</v>
      </c>
      <c r="D13" s="51"/>
      <c r="E13" s="51"/>
      <c r="H13" s="51" t="s">
        <v>175</v>
      </c>
      <c r="I13" s="51" t="s">
        <v>176</v>
      </c>
    </row>
    <row r="14" spans="2:9" x14ac:dyDescent="0.2">
      <c r="B14" s="51" t="s">
        <v>177</v>
      </c>
      <c r="C14" s="51" t="s">
        <v>153</v>
      </c>
      <c r="D14" s="51"/>
      <c r="E14" s="51"/>
      <c r="H14" s="51" t="s">
        <v>178</v>
      </c>
      <c r="I14" s="51" t="s">
        <v>179</v>
      </c>
    </row>
    <row r="15" spans="2:9" x14ac:dyDescent="0.2">
      <c r="B15" s="51" t="s">
        <v>180</v>
      </c>
      <c r="C15" s="51" t="s">
        <v>153</v>
      </c>
      <c r="D15" s="51"/>
      <c r="E15" s="51"/>
      <c r="H15" s="51"/>
      <c r="I15" s="51"/>
    </row>
    <row r="16" spans="2:9" x14ac:dyDescent="0.2">
      <c r="B16" s="51" t="s">
        <v>181</v>
      </c>
      <c r="C16" s="51" t="s">
        <v>153</v>
      </c>
      <c r="D16" s="51"/>
      <c r="E16" s="51"/>
    </row>
    <row r="17" spans="2:5" x14ac:dyDescent="0.2">
      <c r="B17" s="51" t="s">
        <v>182</v>
      </c>
      <c r="C17" s="51" t="s">
        <v>153</v>
      </c>
      <c r="D17" s="51"/>
      <c r="E17" s="51"/>
    </row>
    <row r="18" spans="2:5" x14ac:dyDescent="0.2">
      <c r="B18" s="51" t="s">
        <v>183</v>
      </c>
      <c r="C18" s="51" t="s">
        <v>153</v>
      </c>
      <c r="D18" s="51"/>
      <c r="E18" s="51"/>
    </row>
    <row r="19" spans="2:5" x14ac:dyDescent="0.2">
      <c r="B19" s="51" t="s">
        <v>184</v>
      </c>
      <c r="C19" s="51" t="s">
        <v>153</v>
      </c>
      <c r="D19" s="51"/>
      <c r="E19" s="51"/>
    </row>
    <row r="20" spans="2:5" x14ac:dyDescent="0.2">
      <c r="B20" s="51" t="s">
        <v>185</v>
      </c>
      <c r="C20" s="51" t="s">
        <v>153</v>
      </c>
      <c r="D20" s="51"/>
      <c r="E20" s="51"/>
    </row>
    <row r="21" spans="2:5" x14ac:dyDescent="0.2">
      <c r="B21" s="51" t="s">
        <v>186</v>
      </c>
      <c r="C21" s="51" t="s">
        <v>153</v>
      </c>
      <c r="D21" s="51"/>
      <c r="E21" s="51"/>
    </row>
    <row r="22" spans="2:5" x14ac:dyDescent="0.2">
      <c r="B22" s="51" t="s">
        <v>187</v>
      </c>
      <c r="C22" s="51" t="s">
        <v>153</v>
      </c>
      <c r="D22" s="51"/>
      <c r="E22" s="51"/>
    </row>
    <row r="23" spans="2:5" x14ac:dyDescent="0.2">
      <c r="B23" s="51" t="s">
        <v>188</v>
      </c>
      <c r="C23" s="51" t="s">
        <v>153</v>
      </c>
      <c r="D23" s="51"/>
      <c r="E23" s="51"/>
    </row>
    <row r="24" spans="2:5" x14ac:dyDescent="0.2">
      <c r="B24" s="51" t="s">
        <v>189</v>
      </c>
      <c r="C24" s="51" t="s">
        <v>190</v>
      </c>
      <c r="D24" s="51"/>
      <c r="E24" s="51"/>
    </row>
    <row r="25" spans="2:5" x14ac:dyDescent="0.2">
      <c r="B25" s="51" t="s">
        <v>191</v>
      </c>
      <c r="C25" s="51" t="s">
        <v>190</v>
      </c>
      <c r="D25" s="51"/>
      <c r="E25" s="51"/>
    </row>
    <row r="26" spans="2:5" x14ac:dyDescent="0.2">
      <c r="B26" s="51" t="s">
        <v>192</v>
      </c>
      <c r="C26" s="51" t="s">
        <v>190</v>
      </c>
      <c r="D26" s="51"/>
      <c r="E26" s="51"/>
    </row>
    <row r="27" spans="2:5" x14ac:dyDescent="0.2">
      <c r="B27" s="51" t="s">
        <v>193</v>
      </c>
      <c r="C27" s="51" t="s">
        <v>190</v>
      </c>
      <c r="D27" s="51"/>
      <c r="E27" s="51"/>
    </row>
    <row r="28" spans="2:5" x14ac:dyDescent="0.2">
      <c r="B28" s="51" t="s">
        <v>194</v>
      </c>
      <c r="C28" s="51" t="s">
        <v>190</v>
      </c>
      <c r="D28" s="51"/>
      <c r="E28" s="51"/>
    </row>
    <row r="29" spans="2:5" x14ac:dyDescent="0.2">
      <c r="B29" s="51" t="s">
        <v>195</v>
      </c>
      <c r="C29" s="51" t="s">
        <v>190</v>
      </c>
      <c r="D29" s="51"/>
      <c r="E29" s="51"/>
    </row>
    <row r="30" spans="2:5" x14ac:dyDescent="0.2">
      <c r="B30" s="51" t="s">
        <v>196</v>
      </c>
      <c r="C30" s="51" t="s">
        <v>190</v>
      </c>
      <c r="D30" s="51"/>
      <c r="E30" s="51"/>
    </row>
    <row r="31" spans="2:5" x14ac:dyDescent="0.2">
      <c r="B31" s="51" t="s">
        <v>197</v>
      </c>
      <c r="C31" s="51" t="s">
        <v>190</v>
      </c>
      <c r="D31" s="51"/>
      <c r="E31" s="51"/>
    </row>
    <row r="32" spans="2:5" x14ac:dyDescent="0.2">
      <c r="B32" s="51" t="s">
        <v>198</v>
      </c>
      <c r="C32" s="51" t="s">
        <v>190</v>
      </c>
      <c r="D32" s="51"/>
      <c r="E32" s="51"/>
    </row>
    <row r="33" spans="2:5" x14ac:dyDescent="0.2">
      <c r="B33" s="51" t="s">
        <v>199</v>
      </c>
      <c r="C33" s="51" t="s">
        <v>190</v>
      </c>
      <c r="D33" s="51"/>
      <c r="E33" s="51"/>
    </row>
    <row r="34" spans="2:5" x14ac:dyDescent="0.2">
      <c r="B34" s="51" t="s">
        <v>200</v>
      </c>
      <c r="C34" s="51" t="s">
        <v>190</v>
      </c>
      <c r="D34" s="51"/>
      <c r="E34" s="51"/>
    </row>
    <row r="35" spans="2:5" x14ac:dyDescent="0.2">
      <c r="B35" s="51" t="s">
        <v>201</v>
      </c>
      <c r="C35" s="51" t="s">
        <v>190</v>
      </c>
      <c r="D35" s="51"/>
      <c r="E35" s="51"/>
    </row>
    <row r="36" spans="2:5" x14ac:dyDescent="0.2">
      <c r="B36" s="51" t="s">
        <v>202</v>
      </c>
      <c r="C36" s="51" t="s">
        <v>153</v>
      </c>
      <c r="D36" s="51"/>
      <c r="E36" s="51"/>
    </row>
    <row r="37" spans="2:5" x14ac:dyDescent="0.2">
      <c r="B37" s="51" t="s">
        <v>203</v>
      </c>
      <c r="C37" s="51" t="s">
        <v>190</v>
      </c>
      <c r="D37" s="51"/>
      <c r="E37" s="51"/>
    </row>
    <row r="38" spans="2:5" x14ac:dyDescent="0.2">
      <c r="B38" s="51" t="s">
        <v>204</v>
      </c>
      <c r="C38" s="51" t="s">
        <v>190</v>
      </c>
      <c r="D38" s="51"/>
      <c r="E38" s="51"/>
    </row>
    <row r="39" spans="2:5" x14ac:dyDescent="0.2">
      <c r="B39" s="51" t="s">
        <v>205</v>
      </c>
      <c r="C39" s="51" t="s">
        <v>190</v>
      </c>
      <c r="D39" s="51"/>
      <c r="E39" s="51"/>
    </row>
    <row r="40" spans="2:5" x14ac:dyDescent="0.2">
      <c r="B40" s="51" t="s">
        <v>206</v>
      </c>
      <c r="C40" s="51" t="s">
        <v>153</v>
      </c>
      <c r="D40" s="51"/>
      <c r="E40" s="51"/>
    </row>
    <row r="41" spans="2:5" x14ac:dyDescent="0.2">
      <c r="B41" s="51" t="s">
        <v>207</v>
      </c>
      <c r="C41" s="51" t="s">
        <v>153</v>
      </c>
      <c r="D41" s="51"/>
      <c r="E41" s="51"/>
    </row>
    <row r="42" spans="2:5" x14ac:dyDescent="0.2">
      <c r="B42" s="51" t="s">
        <v>208</v>
      </c>
      <c r="C42" s="51" t="s">
        <v>153</v>
      </c>
      <c r="D42" s="51"/>
      <c r="E42" s="51"/>
    </row>
    <row r="43" spans="2:5" x14ac:dyDescent="0.2">
      <c r="B43" s="51" t="s">
        <v>209</v>
      </c>
      <c r="C43" s="51" t="s">
        <v>190</v>
      </c>
      <c r="D43" s="51"/>
      <c r="E43" s="51"/>
    </row>
    <row r="44" spans="2:5" x14ac:dyDescent="0.2">
      <c r="B44" s="51" t="s">
        <v>210</v>
      </c>
      <c r="C44" s="51" t="s">
        <v>190</v>
      </c>
      <c r="D44" s="51"/>
      <c r="E44" s="51"/>
    </row>
    <row r="45" spans="2:5" x14ac:dyDescent="0.2">
      <c r="B45" s="51" t="s">
        <v>211</v>
      </c>
      <c r="C45" s="51" t="s">
        <v>190</v>
      </c>
      <c r="D45" s="51"/>
      <c r="E45" s="51"/>
    </row>
    <row r="46" spans="2:5" x14ac:dyDescent="0.2">
      <c r="B46" s="51" t="s">
        <v>212</v>
      </c>
      <c r="C46" s="51" t="s">
        <v>190</v>
      </c>
      <c r="D46" s="51"/>
      <c r="E46" s="51"/>
    </row>
    <row r="47" spans="2:5" x14ac:dyDescent="0.2">
      <c r="B47" s="51" t="s">
        <v>213</v>
      </c>
      <c r="C47" s="51" t="s">
        <v>190</v>
      </c>
      <c r="D47" s="51"/>
      <c r="E47" s="51"/>
    </row>
    <row r="48" spans="2:5" x14ac:dyDescent="0.2">
      <c r="B48" s="51" t="s">
        <v>214</v>
      </c>
      <c r="C48" s="51" t="s">
        <v>190</v>
      </c>
      <c r="D48" s="51"/>
      <c r="E48" s="51"/>
    </row>
    <row r="49" spans="2:5" x14ac:dyDescent="0.2">
      <c r="B49" s="51" t="s">
        <v>215</v>
      </c>
      <c r="C49" s="51" t="s">
        <v>190</v>
      </c>
      <c r="D49" s="51"/>
      <c r="E49" s="51"/>
    </row>
    <row r="50" spans="2:5" x14ac:dyDescent="0.2">
      <c r="B50" s="51" t="s">
        <v>216</v>
      </c>
      <c r="C50" s="51" t="s">
        <v>190</v>
      </c>
      <c r="D50" s="51"/>
      <c r="E50" s="51"/>
    </row>
    <row r="51" spans="2:5" x14ac:dyDescent="0.2">
      <c r="B51" s="51" t="s">
        <v>217</v>
      </c>
      <c r="C51" s="51" t="s">
        <v>190</v>
      </c>
      <c r="D51" s="51"/>
      <c r="E51" s="51"/>
    </row>
    <row r="52" spans="2:5" x14ac:dyDescent="0.2">
      <c r="B52" s="51" t="s">
        <v>218</v>
      </c>
      <c r="C52" s="51" t="s">
        <v>153</v>
      </c>
      <c r="D52" s="51"/>
      <c r="E52" s="51"/>
    </row>
    <row r="53" spans="2:5" x14ac:dyDescent="0.2">
      <c r="B53" s="51" t="s">
        <v>408</v>
      </c>
      <c r="C53" s="51" t="s">
        <v>190</v>
      </c>
      <c r="D53" s="51"/>
      <c r="E53" s="51"/>
    </row>
    <row r="54" spans="2:5" x14ac:dyDescent="0.2">
      <c r="B54" s="51" t="s">
        <v>219</v>
      </c>
      <c r="C54" s="51" t="s">
        <v>153</v>
      </c>
      <c r="D54" s="51"/>
      <c r="E54" s="51"/>
    </row>
    <row r="55" spans="2:5" x14ac:dyDescent="0.2">
      <c r="B55" s="51" t="s">
        <v>220</v>
      </c>
      <c r="C55" s="51" t="s">
        <v>153</v>
      </c>
      <c r="D55" s="51"/>
      <c r="E55" s="51"/>
    </row>
    <row r="56" spans="2:5" x14ac:dyDescent="0.2">
      <c r="B56" s="51" t="s">
        <v>409</v>
      </c>
      <c r="C56" s="51" t="s">
        <v>190</v>
      </c>
      <c r="D56" s="51"/>
      <c r="E56" s="51"/>
    </row>
    <row r="57" spans="2:5" x14ac:dyDescent="0.2">
      <c r="B57" s="51" t="s">
        <v>221</v>
      </c>
      <c r="C57" s="51" t="s">
        <v>153</v>
      </c>
      <c r="D57" s="51"/>
      <c r="E57" s="51"/>
    </row>
    <row r="58" spans="2:5" x14ac:dyDescent="0.2">
      <c r="B58" s="51" t="s">
        <v>410</v>
      </c>
      <c r="C58" s="51" t="s">
        <v>190</v>
      </c>
      <c r="D58" s="51"/>
      <c r="E58" s="51"/>
    </row>
    <row r="59" spans="2:5" x14ac:dyDescent="0.2">
      <c r="B59" s="51" t="s">
        <v>222</v>
      </c>
      <c r="C59" s="51" t="s">
        <v>153</v>
      </c>
      <c r="D59" s="51"/>
      <c r="E59" s="51"/>
    </row>
    <row r="60" spans="2:5" x14ac:dyDescent="0.2">
      <c r="B60" s="51" t="s">
        <v>411</v>
      </c>
      <c r="C60" s="51" t="s">
        <v>190</v>
      </c>
      <c r="D60" s="51"/>
      <c r="E60" s="51"/>
    </row>
    <row r="61" spans="2:5" x14ac:dyDescent="0.2">
      <c r="B61" s="51" t="s">
        <v>223</v>
      </c>
      <c r="C61" s="51" t="s">
        <v>153</v>
      </c>
      <c r="D61" s="51"/>
      <c r="E61" s="51"/>
    </row>
    <row r="62" spans="2:5" x14ac:dyDescent="0.2">
      <c r="B62" s="51" t="s">
        <v>224</v>
      </c>
      <c r="C62" s="51" t="s">
        <v>153</v>
      </c>
      <c r="D62" s="51"/>
      <c r="E62" s="51"/>
    </row>
    <row r="63" spans="2:5" x14ac:dyDescent="0.2">
      <c r="B63" s="51" t="s">
        <v>225</v>
      </c>
      <c r="C63" s="51" t="s">
        <v>153</v>
      </c>
      <c r="D63" s="51"/>
      <c r="E63" s="51"/>
    </row>
    <row r="64" spans="2:5" x14ac:dyDescent="0.2">
      <c r="B64" s="51" t="s">
        <v>412</v>
      </c>
      <c r="C64" s="51" t="s">
        <v>190</v>
      </c>
      <c r="D64" s="51"/>
      <c r="E64" s="51"/>
    </row>
    <row r="65" spans="2:5" x14ac:dyDescent="0.2">
      <c r="B65" s="51" t="s">
        <v>226</v>
      </c>
      <c r="C65" s="51" t="s">
        <v>153</v>
      </c>
      <c r="D65" s="51"/>
      <c r="E65" s="51"/>
    </row>
    <row r="66" spans="2:5" x14ac:dyDescent="0.2">
      <c r="B66" s="51" t="s">
        <v>227</v>
      </c>
      <c r="C66" s="51" t="s">
        <v>190</v>
      </c>
      <c r="D66" s="51"/>
      <c r="E66" s="51"/>
    </row>
    <row r="67" spans="2:5" x14ac:dyDescent="0.2">
      <c r="B67" s="51" t="s">
        <v>228</v>
      </c>
      <c r="C67" s="51" t="s">
        <v>190</v>
      </c>
      <c r="D67" s="51"/>
      <c r="E67" s="51"/>
    </row>
    <row r="68" spans="2:5" x14ac:dyDescent="0.2">
      <c r="B68" s="51" t="s">
        <v>229</v>
      </c>
      <c r="C68" s="51" t="s">
        <v>153</v>
      </c>
      <c r="D68" s="51"/>
      <c r="E68" s="51"/>
    </row>
    <row r="69" spans="2:5" x14ac:dyDescent="0.2">
      <c r="B69" s="51" t="s">
        <v>230</v>
      </c>
      <c r="C69" s="51" t="s">
        <v>153</v>
      </c>
      <c r="D69" s="51"/>
      <c r="E69" s="51"/>
    </row>
    <row r="70" spans="2:5" x14ac:dyDescent="0.2">
      <c r="B70" s="51" t="s">
        <v>231</v>
      </c>
      <c r="C70" s="51" t="s">
        <v>153</v>
      </c>
      <c r="D70" s="51"/>
      <c r="E70" s="51"/>
    </row>
    <row r="71" spans="2:5" x14ac:dyDescent="0.2">
      <c r="B71" s="51" t="s">
        <v>232</v>
      </c>
      <c r="C71" s="51" t="s">
        <v>153</v>
      </c>
      <c r="D71" s="51"/>
      <c r="E71" s="51"/>
    </row>
    <row r="72" spans="2:5" x14ac:dyDescent="0.2">
      <c r="B72" s="51" t="s">
        <v>233</v>
      </c>
      <c r="C72" s="51" t="s">
        <v>153</v>
      </c>
      <c r="D72" s="51"/>
      <c r="E72" s="51"/>
    </row>
    <row r="73" spans="2:5" x14ac:dyDescent="0.2">
      <c r="B73" s="51" t="s">
        <v>234</v>
      </c>
      <c r="C73" s="51" t="s">
        <v>153</v>
      </c>
      <c r="D73" s="51"/>
      <c r="E73" s="51"/>
    </row>
    <row r="74" spans="2:5" x14ac:dyDescent="0.2">
      <c r="B74" s="51" t="s">
        <v>7</v>
      </c>
      <c r="C74" s="51" t="s">
        <v>153</v>
      </c>
      <c r="D74" s="51"/>
      <c r="E74" s="51"/>
    </row>
    <row r="75" spans="2:5" x14ac:dyDescent="0.2">
      <c r="B75" s="51" t="s">
        <v>413</v>
      </c>
      <c r="C75" s="51" t="s">
        <v>190</v>
      </c>
      <c r="D75" s="51"/>
      <c r="E75" s="51"/>
    </row>
    <row r="76" spans="2:5" x14ac:dyDescent="0.2">
      <c r="B76" s="51" t="s">
        <v>235</v>
      </c>
      <c r="C76" s="51" t="s">
        <v>153</v>
      </c>
      <c r="D76" s="51"/>
      <c r="E76" s="51"/>
    </row>
    <row r="77" spans="2:5" x14ac:dyDescent="0.2">
      <c r="B77" s="51" t="s">
        <v>236</v>
      </c>
      <c r="C77" s="51" t="s">
        <v>190</v>
      </c>
      <c r="D77" s="51"/>
      <c r="E77" s="51"/>
    </row>
    <row r="78" spans="2:5" x14ac:dyDescent="0.2">
      <c r="B78" s="51" t="s">
        <v>237</v>
      </c>
      <c r="C78" s="51" t="s">
        <v>190</v>
      </c>
      <c r="D78" s="51"/>
      <c r="E78" s="51"/>
    </row>
    <row r="79" spans="2:5" x14ac:dyDescent="0.2">
      <c r="B79" s="51" t="s">
        <v>238</v>
      </c>
      <c r="C79" s="51" t="s">
        <v>190</v>
      </c>
      <c r="D79" s="51"/>
      <c r="E79" s="51"/>
    </row>
    <row r="80" spans="2:5" x14ac:dyDescent="0.2">
      <c r="B80" s="51" t="s">
        <v>239</v>
      </c>
      <c r="C80" s="51" t="s">
        <v>190</v>
      </c>
      <c r="D80" s="51"/>
      <c r="E80" s="51"/>
    </row>
    <row r="81" spans="2:5" x14ac:dyDescent="0.2">
      <c r="B81" s="51" t="s">
        <v>240</v>
      </c>
      <c r="C81" s="51" t="s">
        <v>190</v>
      </c>
      <c r="D81" s="51"/>
      <c r="E81" s="51"/>
    </row>
    <row r="82" spans="2:5" x14ac:dyDescent="0.2">
      <c r="B82" s="51" t="s">
        <v>241</v>
      </c>
      <c r="C82" s="51" t="s">
        <v>190</v>
      </c>
      <c r="D82" s="51"/>
      <c r="E82" s="51"/>
    </row>
    <row r="83" spans="2:5" x14ac:dyDescent="0.2">
      <c r="B83" s="51" t="s">
        <v>242</v>
      </c>
      <c r="C83" s="51" t="s">
        <v>190</v>
      </c>
      <c r="D83" s="51"/>
      <c r="E83" s="51"/>
    </row>
    <row r="84" spans="2:5" x14ac:dyDescent="0.2">
      <c r="B84" s="51" t="s">
        <v>243</v>
      </c>
      <c r="C84" s="51" t="s">
        <v>190</v>
      </c>
      <c r="D84" s="51"/>
      <c r="E84" s="51"/>
    </row>
    <row r="85" spans="2:5" x14ac:dyDescent="0.2">
      <c r="B85" s="51" t="s">
        <v>244</v>
      </c>
      <c r="C85" s="51" t="s">
        <v>153</v>
      </c>
      <c r="D85" s="51"/>
      <c r="E85" s="51"/>
    </row>
    <row r="86" spans="2:5" x14ac:dyDescent="0.2">
      <c r="B86" s="51" t="s">
        <v>245</v>
      </c>
      <c r="C86" s="51" t="s">
        <v>190</v>
      </c>
      <c r="D86" s="51"/>
      <c r="E86" s="51"/>
    </row>
    <row r="87" spans="2:5" x14ac:dyDescent="0.2">
      <c r="B87" s="51" t="s">
        <v>246</v>
      </c>
      <c r="C87" s="51" t="s">
        <v>190</v>
      </c>
      <c r="D87" s="51"/>
      <c r="E87" s="51"/>
    </row>
    <row r="88" spans="2:5" x14ac:dyDescent="0.2">
      <c r="B88" s="51" t="s">
        <v>247</v>
      </c>
      <c r="C88" s="51" t="s">
        <v>190</v>
      </c>
      <c r="D88" s="51"/>
      <c r="E88" s="51"/>
    </row>
    <row r="89" spans="2:5" x14ac:dyDescent="0.2">
      <c r="B89" s="51" t="s">
        <v>248</v>
      </c>
      <c r="C89" s="51" t="s">
        <v>190</v>
      </c>
      <c r="D89" s="51"/>
      <c r="E89" s="51"/>
    </row>
    <row r="90" spans="2:5" x14ac:dyDescent="0.2">
      <c r="B90" s="51" t="s">
        <v>249</v>
      </c>
      <c r="C90" s="51" t="s">
        <v>190</v>
      </c>
      <c r="D90" s="51"/>
      <c r="E90" s="51"/>
    </row>
    <row r="91" spans="2:5" x14ac:dyDescent="0.2">
      <c r="B91" s="51" t="s">
        <v>250</v>
      </c>
      <c r="C91" s="51" t="s">
        <v>190</v>
      </c>
      <c r="D91" s="51"/>
      <c r="E91" s="51"/>
    </row>
    <row r="92" spans="2:5" x14ac:dyDescent="0.2">
      <c r="B92" s="51" t="s">
        <v>251</v>
      </c>
      <c r="C92" s="51" t="s">
        <v>190</v>
      </c>
      <c r="D92" s="51"/>
      <c r="E92" s="51"/>
    </row>
    <row r="93" spans="2:5" x14ac:dyDescent="0.2">
      <c r="B93" s="51" t="s">
        <v>252</v>
      </c>
      <c r="C93" s="51" t="s">
        <v>190</v>
      </c>
      <c r="D93" s="51"/>
      <c r="E93" s="51"/>
    </row>
    <row r="94" spans="2:5" x14ac:dyDescent="0.2">
      <c r="B94" s="51" t="s">
        <v>253</v>
      </c>
      <c r="C94" s="51" t="s">
        <v>190</v>
      </c>
      <c r="D94" s="51"/>
      <c r="E94" s="51"/>
    </row>
    <row r="95" spans="2:5" x14ac:dyDescent="0.2">
      <c r="B95" s="51" t="s">
        <v>254</v>
      </c>
      <c r="C95" s="51" t="s">
        <v>190</v>
      </c>
      <c r="D95" s="51"/>
      <c r="E95" s="51"/>
    </row>
    <row r="96" spans="2:5" x14ac:dyDescent="0.2">
      <c r="B96" s="51" t="s">
        <v>255</v>
      </c>
      <c r="C96" s="51" t="s">
        <v>190</v>
      </c>
      <c r="D96" s="51"/>
      <c r="E96" s="51"/>
    </row>
    <row r="97" spans="2:5" x14ac:dyDescent="0.2">
      <c r="B97" s="51" t="s">
        <v>256</v>
      </c>
      <c r="C97" s="51" t="s">
        <v>190</v>
      </c>
      <c r="D97" s="51"/>
      <c r="E97" s="51"/>
    </row>
    <row r="98" spans="2:5" x14ac:dyDescent="0.2">
      <c r="B98" s="51" t="s">
        <v>257</v>
      </c>
      <c r="C98" s="51" t="s">
        <v>190</v>
      </c>
      <c r="D98" s="51"/>
      <c r="E98" s="51"/>
    </row>
    <row r="99" spans="2:5" x14ac:dyDescent="0.2">
      <c r="B99" s="51" t="s">
        <v>258</v>
      </c>
      <c r="C99" s="51" t="s">
        <v>153</v>
      </c>
      <c r="D99" s="51"/>
      <c r="E99" s="51"/>
    </row>
    <row r="100" spans="2:5" x14ac:dyDescent="0.2">
      <c r="B100" s="51" t="s">
        <v>259</v>
      </c>
      <c r="C100" s="51" t="s">
        <v>190</v>
      </c>
      <c r="D100" s="51"/>
      <c r="E100" s="51"/>
    </row>
    <row r="101" spans="2:5" x14ac:dyDescent="0.2">
      <c r="B101" s="51" t="s">
        <v>260</v>
      </c>
      <c r="C101" s="51" t="s">
        <v>190</v>
      </c>
      <c r="D101" s="51"/>
      <c r="E101" s="51"/>
    </row>
    <row r="102" spans="2:5" x14ac:dyDescent="0.2">
      <c r="B102" s="51" t="s">
        <v>261</v>
      </c>
      <c r="C102" s="51" t="s">
        <v>190</v>
      </c>
      <c r="D102" s="51"/>
      <c r="E102" s="51"/>
    </row>
    <row r="103" spans="2:5" x14ac:dyDescent="0.2">
      <c r="B103" s="51" t="s">
        <v>262</v>
      </c>
      <c r="C103" s="51" t="s">
        <v>190</v>
      </c>
      <c r="D103" s="51"/>
      <c r="E103" s="51"/>
    </row>
    <row r="104" spans="2:5" x14ac:dyDescent="0.2">
      <c r="B104" s="51" t="s">
        <v>263</v>
      </c>
      <c r="C104" s="51" t="s">
        <v>190</v>
      </c>
      <c r="D104" s="51"/>
      <c r="E104" s="51"/>
    </row>
    <row r="105" spans="2:5" ht="12" customHeight="1" x14ac:dyDescent="0.2">
      <c r="B105" s="51" t="s">
        <v>264</v>
      </c>
      <c r="C105" s="51" t="s">
        <v>153</v>
      </c>
      <c r="D105" s="51"/>
      <c r="E105" s="51"/>
    </row>
    <row r="106" spans="2:5" ht="12" customHeight="1" x14ac:dyDescent="0.2">
      <c r="B106" s="51" t="s">
        <v>265</v>
      </c>
      <c r="C106" s="51" t="s">
        <v>153</v>
      </c>
      <c r="D106" s="51"/>
      <c r="E106" s="51"/>
    </row>
    <row r="107" spans="2:5" ht="12" customHeight="1" x14ac:dyDescent="0.2">
      <c r="B107" s="51" t="s">
        <v>266</v>
      </c>
      <c r="C107" s="51" t="s">
        <v>153</v>
      </c>
      <c r="D107" s="51"/>
      <c r="E107" s="51"/>
    </row>
    <row r="108" spans="2:5" ht="12" customHeight="1" x14ac:dyDescent="0.2">
      <c r="B108" s="51" t="s">
        <v>267</v>
      </c>
      <c r="C108" s="51" t="s">
        <v>153</v>
      </c>
      <c r="D108" s="51"/>
      <c r="E108" s="51"/>
    </row>
    <row r="109" spans="2:5" ht="12" customHeight="1" x14ac:dyDescent="0.2">
      <c r="B109" s="51" t="s">
        <v>268</v>
      </c>
      <c r="C109" s="51" t="s">
        <v>153</v>
      </c>
      <c r="D109" s="51"/>
      <c r="E109" s="51"/>
    </row>
    <row r="110" spans="2:5" ht="12" customHeight="1" x14ac:dyDescent="0.2">
      <c r="B110" s="51" t="s">
        <v>269</v>
      </c>
      <c r="C110" s="51" t="s">
        <v>153</v>
      </c>
      <c r="D110" s="51"/>
      <c r="E110" s="51"/>
    </row>
    <row r="111" spans="2:5" ht="12" customHeight="1" x14ac:dyDescent="0.2">
      <c r="B111" s="51"/>
      <c r="C111" s="51"/>
      <c r="D111" s="51"/>
      <c r="E111" s="51"/>
    </row>
  </sheetData>
  <sheetProtection sheet="1" objects="1" scenarios="1" formatColumns="0" formatRows="0" insertRows="0" deleteRows="0" sort="0" autoFilter="0" pivotTables="0"/>
  <dataConsolidate/>
  <dataValidations count="1">
    <dataValidation type="list" allowBlank="1" showInputMessage="1" showErrorMessage="1" sqref="D6 D7 D8 D9 D10 D11 D12 D13 D14 D15 D16 D17 D18 D19 D20 D21 D22 D23 D24 D25 D26 D27 D28 D29 D30 D31 D32 D33 D34 D35 D36 D37 D38 D39 D40 D41 D42 D43 D44 D45 D46 D47 D48 D49 D50 D51 D52 D53 D54 D55 D56 D57 D58 D59 D60 D61 D62 D63 D64 D65 D66 D67 D68 D69 D70 D71 D72 D73 D74 D75 D76 D77 D78 D79 D80 D81 D82 D83 D84 D85 D86 D87 D88 D89 D90 D91 D92 D93 D94 D95 D96 D97 D98 D99 D100 D101 D102 D103 D104 D105 D106 D107 D108 D109 D110" xr:uid="{19DC24AE-A783-4EC3-BA1A-6AE40CE954D1}">
      <formula1>"Delete,Duplicate,Replace"</formula1>
    </dataValidation>
  </dataValidations>
  <pageMargins left="0.7" right="0.7" top="0.75" bottom="0.75" header="0.3" footer="0.3"/>
  <pageSetup orientation="portrait" horizontalDpi="0" verticalDpi="0"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82502-B052-4FB9-9DC3-DC24622EBEC1}">
  <sheetPr codeName="AppConfig"/>
  <dimension ref="A1:C8"/>
  <sheetViews>
    <sheetView workbookViewId="0"/>
  </sheetViews>
  <sheetFormatPr baseColWidth="10" defaultRowHeight="12" customHeight="1" x14ac:dyDescent="0.2"/>
  <cols>
    <col min="1" max="1" width="18" style="1" customWidth="1"/>
    <col min="2" max="2" width="11.42578125" style="1"/>
    <col min="3" max="3" width="10.42578125" style="1" customWidth="1"/>
    <col min="4" max="16384" width="11.42578125" style="1"/>
  </cols>
  <sheetData>
    <row r="1" spans="1:3" x14ac:dyDescent="0.2">
      <c r="A1" s="1" t="s">
        <v>270</v>
      </c>
    </row>
    <row r="3" spans="1:3" x14ac:dyDescent="0.2">
      <c r="A3" s="1" t="s">
        <v>271</v>
      </c>
    </row>
    <row r="5" spans="1:3" x14ac:dyDescent="0.2">
      <c r="A5" s="1" t="s">
        <v>272</v>
      </c>
    </row>
    <row r="6" spans="1:3" x14ac:dyDescent="0.2">
      <c r="A6" s="1" t="s">
        <v>273</v>
      </c>
      <c r="B6" s="1" t="s">
        <v>274</v>
      </c>
      <c r="C6" s="1" t="s">
        <v>275</v>
      </c>
    </row>
    <row r="8" spans="1:3" ht="12" customHeight="1" x14ac:dyDescent="0.2">
      <c r="A8" s="51"/>
      <c r="B8" s="51"/>
      <c r="C8" s="51"/>
    </row>
  </sheetData>
  <sheetProtection sheet="1" objects="1" scenarios="1" formatColumns="0" formatRows="0" insertRows="0" deleteRows="0" sort="0" autoFilter="0" pivotTables="0"/>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1BF4E-F376-4576-8A72-7112D6B1BB9B}">
  <sheetPr codeName="AppListSheet"/>
  <dimension ref="A1:N107"/>
  <sheetViews>
    <sheetView showGridLines="0" workbookViewId="0">
      <pane xSplit="8" ySplit="6" topLeftCell="I7" activePane="bottomRight" state="frozen"/>
      <selection pane="topRight" activeCell="I1" sqref="I1"/>
      <selection pane="bottomLeft" activeCell="A7" sqref="A7"/>
      <selection pane="bottomRight"/>
    </sheetView>
  </sheetViews>
  <sheetFormatPr baseColWidth="10" defaultRowHeight="12" customHeight="1" x14ac:dyDescent="0.2"/>
  <cols>
    <col min="1" max="1" width="3.28515625" style="1" customWidth="1"/>
    <col min="2" max="4" width="4.140625" style="1" customWidth="1"/>
    <col min="5" max="8" width="26.42578125" style="1" customWidth="1"/>
    <col min="9" max="9" width="3.28515625" style="1" customWidth="1"/>
    <col min="10" max="12" width="22.140625" style="1" customWidth="1"/>
    <col min="13" max="13" width="3.28515625" style="1" customWidth="1"/>
    <col min="14" max="14" width="56.42578125" style="1" customWidth="1"/>
    <col min="15" max="17" width="10.28515625" style="1" customWidth="1"/>
    <col min="18" max="16384" width="11.42578125" style="1"/>
  </cols>
  <sheetData>
    <row r="1" spans="2:14" ht="15.75" x14ac:dyDescent="0.2">
      <c r="B1" s="53" t="s">
        <v>128</v>
      </c>
    </row>
    <row r="2" spans="2:14" ht="12.75" x14ac:dyDescent="0.2">
      <c r="B2" s="54"/>
    </row>
    <row r="4" spans="2:14" x14ac:dyDescent="0.2">
      <c r="J4" s="55" t="s">
        <v>276</v>
      </c>
      <c r="K4" s="55"/>
      <c r="L4" s="55"/>
      <c r="N4" s="55" t="s">
        <v>277</v>
      </c>
    </row>
    <row r="6" spans="2:14" x14ac:dyDescent="0.2">
      <c r="B6" s="56"/>
      <c r="C6" s="56"/>
      <c r="D6" s="56"/>
      <c r="E6" s="56"/>
      <c r="F6" s="56"/>
      <c r="G6" s="56"/>
      <c r="H6" s="56"/>
      <c r="J6" s="56"/>
      <c r="K6" s="56"/>
      <c r="L6" s="56"/>
      <c r="N6" s="56"/>
    </row>
    <row r="8" spans="2:14" x14ac:dyDescent="0.2">
      <c r="C8" s="55" t="s">
        <v>278</v>
      </c>
      <c r="D8" s="55"/>
      <c r="E8" s="55"/>
      <c r="F8" s="57"/>
      <c r="G8" s="57"/>
      <c r="H8" s="55"/>
    </row>
    <row r="10" spans="2:14" x14ac:dyDescent="0.2">
      <c r="E10" s="1" t="s">
        <v>279</v>
      </c>
      <c r="F10" s="1" t="s">
        <v>280</v>
      </c>
      <c r="G10" s="1" t="s">
        <v>281</v>
      </c>
      <c r="J10" s="1" t="s">
        <v>282</v>
      </c>
    </row>
    <row r="11" spans="2:14" x14ac:dyDescent="0.2">
      <c r="E11" s="51" t="s">
        <v>283</v>
      </c>
      <c r="F11" s="51"/>
      <c r="G11" s="51">
        <v>2</v>
      </c>
    </row>
    <row r="12" spans="2:14" x14ac:dyDescent="0.2">
      <c r="E12" s="51" t="s">
        <v>284</v>
      </c>
      <c r="F12" s="51" t="s">
        <v>285</v>
      </c>
      <c r="G12" s="51">
        <v>6</v>
      </c>
    </row>
    <row r="13" spans="2:14" x14ac:dyDescent="0.2">
      <c r="E13" s="51" t="s">
        <v>286</v>
      </c>
      <c r="F13" s="51" t="s">
        <v>287</v>
      </c>
      <c r="G13" s="51">
        <v>4</v>
      </c>
    </row>
    <row r="14" spans="2:14" x14ac:dyDescent="0.2">
      <c r="E14" s="51" t="s">
        <v>288</v>
      </c>
      <c r="F14" s="51"/>
      <c r="G14" s="51">
        <v>1</v>
      </c>
    </row>
    <row r="15" spans="2:14" x14ac:dyDescent="0.2">
      <c r="E15" s="51" t="s">
        <v>289</v>
      </c>
      <c r="F15" s="51"/>
      <c r="G15" s="51">
        <v>3</v>
      </c>
    </row>
    <row r="16" spans="2:14" x14ac:dyDescent="0.2">
      <c r="E16" s="51" t="s">
        <v>290</v>
      </c>
      <c r="F16" s="51" t="s">
        <v>291</v>
      </c>
      <c r="G16" s="51">
        <v>5</v>
      </c>
    </row>
    <row r="17" spans="3:11" x14ac:dyDescent="0.2">
      <c r="E17" s="51" t="s">
        <v>292</v>
      </c>
      <c r="F17" s="51" t="s">
        <v>293</v>
      </c>
      <c r="G17" s="51">
        <v>7</v>
      </c>
    </row>
    <row r="18" spans="3:11" x14ac:dyDescent="0.2">
      <c r="E18" s="51"/>
      <c r="F18" s="51"/>
      <c r="G18" s="51"/>
      <c r="H18" s="51"/>
    </row>
    <row r="19" spans="3:11" x14ac:dyDescent="0.2">
      <c r="C19" s="55" t="s">
        <v>294</v>
      </c>
      <c r="D19" s="55"/>
      <c r="E19" s="55"/>
      <c r="F19" s="57"/>
      <c r="G19" s="57"/>
      <c r="H19" s="55"/>
    </row>
    <row r="21" spans="3:11" x14ac:dyDescent="0.2">
      <c r="E21" s="1" t="s">
        <v>279</v>
      </c>
      <c r="F21" s="1" t="s">
        <v>281</v>
      </c>
      <c r="J21" s="1" t="s">
        <v>295</v>
      </c>
    </row>
    <row r="22" spans="3:11" x14ac:dyDescent="0.2">
      <c r="E22" s="51" t="s">
        <v>285</v>
      </c>
      <c r="F22" s="51">
        <v>6</v>
      </c>
    </row>
    <row r="23" spans="3:11" x14ac:dyDescent="0.2">
      <c r="E23" s="51" t="s">
        <v>287</v>
      </c>
      <c r="F23" s="51">
        <v>4</v>
      </c>
    </row>
    <row r="24" spans="3:11" x14ac:dyDescent="0.2">
      <c r="E24" s="51" t="s">
        <v>291</v>
      </c>
      <c r="F24" s="51">
        <v>5</v>
      </c>
    </row>
    <row r="25" spans="3:11" x14ac:dyDescent="0.2">
      <c r="E25" s="51" t="s">
        <v>293</v>
      </c>
      <c r="F25" s="51">
        <v>7</v>
      </c>
    </row>
    <row r="26" spans="3:11" x14ac:dyDescent="0.2">
      <c r="E26" s="51"/>
      <c r="F26" s="51"/>
      <c r="G26" s="51"/>
    </row>
    <row r="27" spans="3:11" x14ac:dyDescent="0.2">
      <c r="C27" s="55" t="s">
        <v>296</v>
      </c>
      <c r="D27" s="55"/>
      <c r="E27" s="55"/>
      <c r="F27" s="55"/>
      <c r="G27" s="55"/>
      <c r="H27" s="55"/>
    </row>
    <row r="29" spans="3:11" x14ac:dyDescent="0.2">
      <c r="E29" s="2" t="s">
        <v>297</v>
      </c>
      <c r="F29" s="2" t="s">
        <v>298</v>
      </c>
      <c r="G29" s="2" t="s">
        <v>299</v>
      </c>
      <c r="J29" s="1" t="s">
        <v>300</v>
      </c>
      <c r="K29" s="1" t="s">
        <v>301</v>
      </c>
    </row>
    <row r="30" spans="3:11" x14ac:dyDescent="0.2">
      <c r="E30" s="58">
        <v>1</v>
      </c>
      <c r="F30" s="59" t="s">
        <v>302</v>
      </c>
      <c r="G30" s="60" t="s">
        <v>303</v>
      </c>
    </row>
    <row r="31" spans="3:11" x14ac:dyDescent="0.2">
      <c r="E31" s="58">
        <v>1000</v>
      </c>
      <c r="F31" s="59" t="s">
        <v>304</v>
      </c>
      <c r="G31" s="60" t="s">
        <v>305</v>
      </c>
    </row>
    <row r="32" spans="3:11" x14ac:dyDescent="0.2">
      <c r="E32" s="58">
        <v>1000000</v>
      </c>
      <c r="F32" s="59" t="s">
        <v>306</v>
      </c>
      <c r="G32" s="60" t="s">
        <v>307</v>
      </c>
    </row>
    <row r="33" spans="3:12" x14ac:dyDescent="0.2">
      <c r="E33" s="61">
        <v>1000000000</v>
      </c>
      <c r="F33" s="62" t="s">
        <v>308</v>
      </c>
      <c r="G33" s="60" t="s">
        <v>309</v>
      </c>
    </row>
    <row r="34" spans="3:12" x14ac:dyDescent="0.2">
      <c r="E34" s="51"/>
      <c r="F34" s="51"/>
      <c r="G34" s="51"/>
    </row>
    <row r="35" spans="3:12" x14ac:dyDescent="0.2">
      <c r="C35" s="55" t="s">
        <v>310</v>
      </c>
      <c r="D35" s="55"/>
      <c r="E35" s="55"/>
      <c r="F35" s="55"/>
      <c r="G35" s="55"/>
      <c r="H35" s="55"/>
    </row>
    <row r="37" spans="3:12" x14ac:dyDescent="0.2">
      <c r="E37" s="1" t="s">
        <v>311</v>
      </c>
      <c r="F37" s="1" t="s">
        <v>312</v>
      </c>
      <c r="G37" s="1" t="s">
        <v>266</v>
      </c>
      <c r="J37" s="1" t="s">
        <v>313</v>
      </c>
      <c r="K37" s="1" t="s">
        <v>314</v>
      </c>
      <c r="L37" s="1" t="s">
        <v>315</v>
      </c>
    </row>
    <row r="38" spans="3:12" x14ac:dyDescent="0.2">
      <c r="E38" s="51" t="s">
        <v>316</v>
      </c>
      <c r="F38" s="51" t="s">
        <v>316</v>
      </c>
      <c r="G38" s="51" t="s">
        <v>317</v>
      </c>
    </row>
    <row r="39" spans="3:12" x14ac:dyDescent="0.2">
      <c r="E39" s="51" t="s">
        <v>318</v>
      </c>
      <c r="F39" s="51" t="s">
        <v>318</v>
      </c>
      <c r="G39" s="51" t="s">
        <v>319</v>
      </c>
    </row>
    <row r="40" spans="3:12" x14ac:dyDescent="0.2">
      <c r="E40" s="51" t="s">
        <v>320</v>
      </c>
      <c r="F40" s="51" t="s">
        <v>320</v>
      </c>
      <c r="G40" s="51" t="s">
        <v>321</v>
      </c>
    </row>
    <row r="41" spans="3:12" x14ac:dyDescent="0.2">
      <c r="E41" s="51" t="s">
        <v>322</v>
      </c>
      <c r="F41" s="51" t="s">
        <v>322</v>
      </c>
      <c r="G41" s="51" t="s">
        <v>323</v>
      </c>
    </row>
    <row r="42" spans="3:12" x14ac:dyDescent="0.2">
      <c r="E42" s="51" t="s">
        <v>324</v>
      </c>
      <c r="F42" s="51" t="s">
        <v>324</v>
      </c>
      <c r="G42" s="51" t="s">
        <v>325</v>
      </c>
    </row>
    <row r="43" spans="3:12" x14ac:dyDescent="0.2">
      <c r="E43" s="51" t="s">
        <v>326</v>
      </c>
      <c r="F43" s="51" t="s">
        <v>326</v>
      </c>
      <c r="G43" s="51" t="s">
        <v>327</v>
      </c>
    </row>
    <row r="44" spans="3:12" x14ac:dyDescent="0.2">
      <c r="E44" s="51" t="s">
        <v>328</v>
      </c>
      <c r="F44" s="51" t="s">
        <v>328</v>
      </c>
      <c r="G44" s="51" t="s">
        <v>329</v>
      </c>
    </row>
    <row r="45" spans="3:12" x14ac:dyDescent="0.2">
      <c r="E45" s="51" t="s">
        <v>330</v>
      </c>
      <c r="F45" s="51" t="s">
        <v>330</v>
      </c>
      <c r="G45" s="51" t="s">
        <v>331</v>
      </c>
    </row>
    <row r="46" spans="3:12" x14ac:dyDescent="0.2">
      <c r="E46" s="51" t="s">
        <v>332</v>
      </c>
      <c r="F46" s="51" t="s">
        <v>332</v>
      </c>
      <c r="G46" s="51" t="s">
        <v>333</v>
      </c>
    </row>
    <row r="47" spans="3:12" x14ac:dyDescent="0.2">
      <c r="E47" s="51" t="s">
        <v>334</v>
      </c>
      <c r="F47" s="51" t="s">
        <v>334</v>
      </c>
      <c r="G47" s="51" t="s">
        <v>335</v>
      </c>
    </row>
    <row r="48" spans="3:12" x14ac:dyDescent="0.2">
      <c r="E48" s="51" t="s">
        <v>336</v>
      </c>
      <c r="F48" s="51" t="s">
        <v>336</v>
      </c>
      <c r="G48" s="51" t="s">
        <v>337</v>
      </c>
    </row>
    <row r="49" spans="3:10" x14ac:dyDescent="0.2">
      <c r="E49" s="51" t="s">
        <v>338</v>
      </c>
      <c r="F49" s="51" t="s">
        <v>338</v>
      </c>
      <c r="G49" s="51" t="s">
        <v>339</v>
      </c>
    </row>
    <row r="50" spans="3:10" x14ac:dyDescent="0.2">
      <c r="E50" s="51" t="s">
        <v>340</v>
      </c>
      <c r="F50" s="51" t="s">
        <v>340</v>
      </c>
      <c r="G50" s="51" t="s">
        <v>341</v>
      </c>
    </row>
    <row r="51" spans="3:10" x14ac:dyDescent="0.2">
      <c r="E51" s="51" t="s">
        <v>342</v>
      </c>
      <c r="F51" s="51" t="s">
        <v>342</v>
      </c>
      <c r="G51" s="51" t="s">
        <v>343</v>
      </c>
    </row>
    <row r="52" spans="3:10" x14ac:dyDescent="0.2">
      <c r="E52" s="51" t="s">
        <v>344</v>
      </c>
      <c r="F52" s="51" t="s">
        <v>344</v>
      </c>
      <c r="G52" s="51" t="s">
        <v>344</v>
      </c>
    </row>
    <row r="53" spans="3:10" x14ac:dyDescent="0.2">
      <c r="E53" s="51"/>
      <c r="F53" s="51"/>
      <c r="G53" s="51"/>
    </row>
    <row r="54" spans="3:10" x14ac:dyDescent="0.2">
      <c r="C54" s="55" t="s">
        <v>345</v>
      </c>
      <c r="D54" s="55"/>
      <c r="E54" s="55"/>
      <c r="F54" s="55"/>
      <c r="G54" s="55"/>
      <c r="H54" s="55"/>
    </row>
    <row r="56" spans="3:10" x14ac:dyDescent="0.2">
      <c r="E56" s="2" t="s">
        <v>346</v>
      </c>
      <c r="F56" s="2" t="s">
        <v>347</v>
      </c>
      <c r="G56" s="2"/>
      <c r="J56" s="1" t="s">
        <v>348</v>
      </c>
    </row>
    <row r="57" spans="3:10" x14ac:dyDescent="0.2">
      <c r="E57" s="58" t="s">
        <v>349</v>
      </c>
      <c r="F57" s="59">
        <v>1</v>
      </c>
    </row>
    <row r="58" spans="3:10" x14ac:dyDescent="0.2">
      <c r="E58" s="58" t="s">
        <v>350</v>
      </c>
      <c r="F58" s="59">
        <v>2</v>
      </c>
    </row>
    <row r="59" spans="3:10" x14ac:dyDescent="0.2">
      <c r="E59" s="58" t="s">
        <v>351</v>
      </c>
      <c r="F59" s="59">
        <v>3</v>
      </c>
    </row>
    <row r="60" spans="3:10" x14ac:dyDescent="0.2">
      <c r="E60" s="58" t="s">
        <v>352</v>
      </c>
      <c r="F60" s="59">
        <v>4</v>
      </c>
    </row>
    <row r="61" spans="3:10" x14ac:dyDescent="0.2">
      <c r="E61" s="58" t="s">
        <v>353</v>
      </c>
      <c r="F61" s="59">
        <v>5</v>
      </c>
    </row>
    <row r="62" spans="3:10" x14ac:dyDescent="0.2">
      <c r="E62" s="58" t="s">
        <v>354</v>
      </c>
      <c r="F62" s="59">
        <v>6</v>
      </c>
    </row>
    <row r="63" spans="3:10" x14ac:dyDescent="0.2">
      <c r="E63" s="58" t="s">
        <v>355</v>
      </c>
      <c r="F63" s="59">
        <v>7</v>
      </c>
    </row>
    <row r="64" spans="3:10" x14ac:dyDescent="0.2">
      <c r="E64" s="58" t="s">
        <v>356</v>
      </c>
      <c r="F64" s="59">
        <v>8</v>
      </c>
    </row>
    <row r="65" spans="1:14" x14ac:dyDescent="0.2">
      <c r="E65" s="58" t="s">
        <v>357</v>
      </c>
      <c r="F65" s="59">
        <v>9</v>
      </c>
    </row>
    <row r="66" spans="1:14" x14ac:dyDescent="0.2">
      <c r="E66" s="58" t="s">
        <v>358</v>
      </c>
      <c r="F66" s="59">
        <v>10</v>
      </c>
    </row>
    <row r="67" spans="1:14" x14ac:dyDescent="0.2">
      <c r="E67" s="58" t="s">
        <v>359</v>
      </c>
      <c r="F67" s="59">
        <v>11</v>
      </c>
    </row>
    <row r="68" spans="1:14" x14ac:dyDescent="0.2">
      <c r="E68" s="61" t="s">
        <v>360</v>
      </c>
      <c r="F68" s="62">
        <v>12</v>
      </c>
    </row>
    <row r="69" spans="1:14" x14ac:dyDescent="0.2">
      <c r="E69" s="51"/>
      <c r="F69" s="51"/>
    </row>
    <row r="70" spans="1:14" x14ac:dyDescent="0.2">
      <c r="C70" s="55" t="s">
        <v>361</v>
      </c>
      <c r="D70" s="55"/>
      <c r="E70" s="55"/>
      <c r="F70" s="57"/>
      <c r="G70" s="57"/>
      <c r="H70" s="55"/>
    </row>
    <row r="72" spans="1:14" x14ac:dyDescent="0.2">
      <c r="E72" s="1" t="s">
        <v>362</v>
      </c>
      <c r="F72" s="1" t="s">
        <v>363</v>
      </c>
      <c r="J72" s="1" t="s">
        <v>364</v>
      </c>
    </row>
    <row r="73" spans="1:14" x14ac:dyDescent="0.2">
      <c r="E73" s="51" t="s">
        <v>365</v>
      </c>
      <c r="F73" s="51" t="s">
        <v>366</v>
      </c>
    </row>
    <row r="74" spans="1:14" x14ac:dyDescent="0.2">
      <c r="E74" s="51" t="s">
        <v>91</v>
      </c>
      <c r="F74" s="51" t="s">
        <v>367</v>
      </c>
    </row>
    <row r="75" spans="1:14" x14ac:dyDescent="0.2">
      <c r="E75" s="51" t="s">
        <v>368</v>
      </c>
      <c r="F75" s="51" t="s">
        <v>369</v>
      </c>
    </row>
    <row r="76" spans="1:14" x14ac:dyDescent="0.2">
      <c r="A76" s="51"/>
      <c r="B76" s="51"/>
      <c r="C76" s="51"/>
      <c r="D76" s="51"/>
      <c r="E76" s="51"/>
      <c r="F76" s="51"/>
      <c r="G76" s="51"/>
      <c r="H76" s="51"/>
      <c r="I76" s="51"/>
      <c r="J76" s="51"/>
      <c r="K76" s="51"/>
      <c r="L76" s="51"/>
      <c r="M76" s="51"/>
      <c r="N76" s="51"/>
    </row>
    <row r="77" spans="1:14" x14ac:dyDescent="0.2">
      <c r="C77" s="55" t="s">
        <v>370</v>
      </c>
      <c r="D77" s="55"/>
      <c r="E77" s="55"/>
      <c r="F77" s="55"/>
      <c r="G77" s="55"/>
      <c r="H77" s="55"/>
    </row>
    <row r="79" spans="1:14" x14ac:dyDescent="0.2">
      <c r="E79" s="1" t="s">
        <v>371</v>
      </c>
      <c r="F79" s="1" t="s">
        <v>372</v>
      </c>
      <c r="J79" s="1" t="s">
        <v>373</v>
      </c>
    </row>
    <row r="80" spans="1:14" x14ac:dyDescent="0.2">
      <c r="E80" s="51" t="s">
        <v>94</v>
      </c>
      <c r="F80" s="51">
        <v>-1</v>
      </c>
      <c r="J80" s="1" t="s">
        <v>374</v>
      </c>
    </row>
    <row r="81" spans="1:14" x14ac:dyDescent="0.2">
      <c r="E81" s="51" t="s">
        <v>98</v>
      </c>
      <c r="F81" s="51">
        <v>0</v>
      </c>
      <c r="J81" s="1" t="s">
        <v>375</v>
      </c>
    </row>
    <row r="82" spans="1:14" x14ac:dyDescent="0.2">
      <c r="A82" s="51"/>
      <c r="B82" s="51"/>
      <c r="E82" s="51"/>
      <c r="F82" s="51"/>
      <c r="G82" s="51"/>
      <c r="H82" s="51"/>
      <c r="I82" s="51"/>
      <c r="J82" s="51"/>
      <c r="K82" s="51"/>
      <c r="L82" s="51"/>
      <c r="M82" s="51"/>
      <c r="N82" s="51"/>
    </row>
    <row r="83" spans="1:14" x14ac:dyDescent="0.2">
      <c r="C83" s="51"/>
      <c r="D83" s="51"/>
      <c r="E83" s="55"/>
      <c r="F83" s="55"/>
      <c r="G83" s="55"/>
      <c r="H83" s="55"/>
    </row>
    <row r="84" spans="1:14" x14ac:dyDescent="0.2">
      <c r="C84" s="55" t="s">
        <v>376</v>
      </c>
      <c r="D84" s="55"/>
    </row>
    <row r="85" spans="1:14" x14ac:dyDescent="0.2">
      <c r="E85" s="1" t="s">
        <v>377</v>
      </c>
    </row>
    <row r="86" spans="1:14" x14ac:dyDescent="0.2">
      <c r="E86" s="51">
        <v>12</v>
      </c>
      <c r="J86" s="1" t="s">
        <v>378</v>
      </c>
    </row>
    <row r="87" spans="1:14" x14ac:dyDescent="0.2">
      <c r="E87" s="51">
        <v>360</v>
      </c>
      <c r="J87" s="1" t="s">
        <v>379</v>
      </c>
    </row>
    <row r="88" spans="1:14" x14ac:dyDescent="0.2">
      <c r="E88" s="51"/>
    </row>
    <row r="89" spans="1:14" x14ac:dyDescent="0.2">
      <c r="E89" s="55"/>
      <c r="F89" s="57"/>
      <c r="G89" s="57"/>
      <c r="H89" s="55"/>
    </row>
    <row r="90" spans="1:14" x14ac:dyDescent="0.2">
      <c r="C90" s="55" t="s">
        <v>380</v>
      </c>
      <c r="D90" s="55"/>
    </row>
    <row r="91" spans="1:14" x14ac:dyDescent="0.2">
      <c r="E91" s="1" t="s">
        <v>381</v>
      </c>
      <c r="J91" s="1" t="s">
        <v>382</v>
      </c>
    </row>
    <row r="92" spans="1:14" x14ac:dyDescent="0.2">
      <c r="E92" s="51" t="s">
        <v>383</v>
      </c>
    </row>
    <row r="93" spans="1:14" x14ac:dyDescent="0.2">
      <c r="E93" s="51" t="s">
        <v>384</v>
      </c>
    </row>
    <row r="94" spans="1:14" x14ac:dyDescent="0.2">
      <c r="E94" s="51"/>
      <c r="F94" s="51"/>
    </row>
    <row r="95" spans="1:14" x14ac:dyDescent="0.2">
      <c r="E95" s="55"/>
      <c r="F95" s="55"/>
      <c r="G95" s="55"/>
      <c r="H95" s="55"/>
    </row>
    <row r="96" spans="1:14" x14ac:dyDescent="0.2">
      <c r="C96" s="55" t="s">
        <v>385</v>
      </c>
      <c r="D96" s="55"/>
    </row>
    <row r="97" spans="3:10" x14ac:dyDescent="0.2">
      <c r="E97" s="1" t="s">
        <v>386</v>
      </c>
      <c r="F97" s="1" t="s">
        <v>387</v>
      </c>
    </row>
    <row r="98" spans="3:10" x14ac:dyDescent="0.2">
      <c r="E98" s="51" t="s">
        <v>388</v>
      </c>
      <c r="F98" s="51">
        <v>1</v>
      </c>
    </row>
    <row r="99" spans="3:10" x14ac:dyDescent="0.2">
      <c r="E99" s="51" t="s">
        <v>389</v>
      </c>
      <c r="F99" s="51">
        <v>2</v>
      </c>
    </row>
    <row r="100" spans="3:10" x14ac:dyDescent="0.2">
      <c r="E100" s="51"/>
      <c r="F100" s="51"/>
    </row>
    <row r="101" spans="3:10" x14ac:dyDescent="0.2">
      <c r="E101" s="55"/>
      <c r="F101" s="57"/>
      <c r="G101" s="57"/>
      <c r="H101" s="55"/>
    </row>
    <row r="102" spans="3:10" x14ac:dyDescent="0.2">
      <c r="C102" s="55" t="s">
        <v>390</v>
      </c>
      <c r="D102" s="55"/>
    </row>
    <row r="103" spans="3:10" x14ac:dyDescent="0.2">
      <c r="E103" s="1" t="s">
        <v>80</v>
      </c>
      <c r="J103" s="1" t="s">
        <v>391</v>
      </c>
    </row>
    <row r="104" spans="3:10" x14ac:dyDescent="0.2">
      <c r="E104" s="51" t="s">
        <v>392</v>
      </c>
    </row>
    <row r="105" spans="3:10" x14ac:dyDescent="0.2">
      <c r="E105" s="51" t="s">
        <v>393</v>
      </c>
    </row>
    <row r="106" spans="3:10" x14ac:dyDescent="0.2">
      <c r="E106" s="51" t="s">
        <v>394</v>
      </c>
    </row>
    <row r="107" spans="3:10" ht="12" customHeight="1" x14ac:dyDescent="0.2">
      <c r="E107" s="51"/>
    </row>
  </sheetData>
  <sheetProtection sheet="1" objects="1" scenarios="1" formatColumns="0" formatRows="0" insertRows="0" deleteRows="0" sort="0" autoFilter="0" pivotTables="0"/>
  <pageMargins left="0.7" right="0.7" top="0.75" bottom="0.75" header="0.3" footer="0.3"/>
  <pageSetup orientation="portrait" r:id="rId1"/>
  <legacyDrawing r:id="rId2"/>
  <tableParts count="11">
    <tablePart r:id="rId3"/>
    <tablePart r:id="rId4"/>
    <tablePart r:id="rId5"/>
    <tablePart r:id="rId6"/>
    <tablePart r:id="rId7"/>
    <tablePart r:id="rId8"/>
    <tablePart r:id="rId9"/>
    <tablePart r:id="rId10"/>
    <tablePart r:id="rId11"/>
    <tablePart r:id="rId12"/>
    <tablePart r:id="rId13"/>
  </tableParts>
</worksheet>
</file>

<file path=customUI/customUI14.xml><?xml version="1.0" encoding="utf-8"?>
<customUI xmlns="http://schemas.microsoft.com/office/2009/07/customui" onLoad="OnRibbonLoad">
  <ribbon startFromScratch="false">
    <tabs>
      <tab id="tabTools" label="Herramientas" getVisible="GetVisible">
        <group id="grpToolsNav" autoScale="true" centerVertically="false" label="Navegación general" getVisible="GetVisible" tag="Nav" imageMso="_3DModelPlay">
          <button id="btnToolsNavCoverSheet" label="Portada" screentip="Portada" supertip="Ir a la hoja &quot;Portada&quot;" imageMso="GotoShortcuts" tag="Nav" onAction="OnActionButton" getVisible="GetVisible" getEnabled="GetEnabled"/>
          <button id="btnToolsNavParams" label="Parámetros" screentip="Parámetros" supertip="Ir a la hoja &quot;Parámetros&quot;" imageMso="SelectContents" tag="Nav" onAction="OnActionButton" getVisible="GetVisible" getEnabled="GetEnabled"/>
          <menu id="mnuToolsNavOther" size="large" itemSize="normal" label="Otras hojas" screentip="Otras hojas" supertip="Navegar a otras hojas del modelo" imageMso="GroupGoTo" tag="Nav" getVisible="GetVisible" getEnabled="GetEnabled">
            <button id="btnToolsNavLists" label="Listados" screentip="Listados" supertip="Ir a la hoja &quot;Listados&quot;" tag="Nav" onAction="OnActionButton" getVisible="GetVisible" getEnabled="GetEnabled"/>
            <button id="btnToolsNavConfig" label="Configuración" screentip="Configuración" supertip="Ir a la hoja &quot;Configuración&quot;" tag="Nav" onAction="OnActionButton" getVisible="GetVisible" getEnabled="GetEnabled"/>
          </menu>
        </group>
        <group id="grpTools" autoScale="false" centerVertically="false" label="Archivo" getVisible="GetVisible" tag="App">
          <box id="boxToolsGenVersion" boxStyle="vertical">
            <dropDown id="drpdwnToolsVersionType" label="Tipo de versión" onAction="OnActionDropDown" getSelectedItemIndex="GetSelectedItemIndexDropDown">
              <item id="itmToolsVersionTypeAlfa" label="Alfa"/>
              <item id="itmToolsVersionTypeBeta" label="Beta"/>
              <item id="itmToolsVersionTypeCandidate" label="Candidata"/>
              <item id="itmToolsVersionTypeProduction" label="Producción"/>
            </dropDown>
            <box id="boxToolsGenVersionHierarchy" boxStyle="horizontal">
              <labelControl id="lblToolsGenVersion" label="Generar versión: " getVisible="GetVisible" getEnabled="GetEnabled"/>
              <splitButton id="sbtnToolsGenVersion" size="normal">
                <button id="btnToolsGenerateMinorVersion" label="Menor" imageMso="ReviewCompareMajorVersion" tag="App" onAction="OnActionButton" getEnabled="GetEnabled"/>
                <menu id="mnuToolsGenerateVersion">
                  <button id="btnToolsGenerateMajorVersion" label="Mayor" imageMso="ReviewCompareMajorVersion" tag="App" onAction="OnActionButton" getEnabled="GetEnabled"/>
                  <button id="btnToolsGeneratePatchVersion" label="Parche" imageMso="ReviewCompareMajorVersion" tag="App" onAction="OnActionButton" getVisible="GetVisible" getEnabled="GetEnabled"/>
                </menu>
              </splitButton>
            </box>
            <button id="btnToolsTurnOnState" size="normal" label="Restablecer estados" imageMso="StartOfDocument" tag="App" onAction="OnActionButton" getVisible="GetVisible" getEnabled="GetEnabled"/>
          </box>
          <button id="btnToolsCalcExcelPerf" size="large" label="Calcular rendimiento fórmulas" imageMso="CalculateFull" tag="App" onAction="OnActionButton" getVisible="GetVisible" getEnabled="GetEnabled"/>
          <splitButton id="sbtnToolsExternalData" size="large">
            <button id="btnToolsExternalDataUpdateAll" label="Actualizar todo" imageMso="RefreshMeetingDetails" tag="App" onAction="OnActionButton" getEnabled="GetEnabled"/>
            <menu id="mnuToolsExternalData">
              <button id="btnToolsExternalDataUpdateDataModel" label="Actualizar Modelo de datos" imageMso="RefreshMeetingDetails" tag="App" onAction="OnActionButton" getVisible="GetVisible" getEnabled="GetEnabled"/>
            </menu>
          </splitButton>
          <button id="btnToolsGoToTop" size="large" label="Reiniciar hojas a A1" imageMso="GoToItemInVersions" tag="App" onAction="OnActionButton" getVisible="GetVisible" getEnabled="GetEnabled"/>
          <checkBox id="cbxToolsShowInputValidation" label="Instrucciones en celdas" tag="App" onAction="OnActionCheckBox" getPressed="GetPressedCheckBox"/>
          <button id="btnToolsExpandOutline" size="normal" label="Expandir grupos" imageMso="PivotTableExpandField" tag="App" onAction="OnActionButton" getVisible="GetVisible" getEnabled="GetEnabled"/>
          <button id="btnToolsCollpaseOutline" size="normal" label="Contraer grupos" imageMso="PivotCollapseField" tag="App" onAction="OnActionButton" getVisible="GetVisible" getEnabled="GetEnabled"/>
        </group>
        <group id="grpToolsStyles" autoScale="true" centerVertically="false" label="Manejador de estilos" getVisible="GetVisible" tag="Styles" imageMso="_3DModelPlay">
          <button id="btnToolsStylesLoad" label="Cargar" screentip="Cargar estilos" supertip="Cargar estilos actuales" imageMso="StylesPane" tag="Styles" onAction="OnActionButton" getVisible="GetVisible" getEnabled="GetEnabled"/>
          <button id="btnToolsStylesProcess" label="Procesar" screentip="Procesar estilos" supertip="Procesar administrador de estilos" imageMso="StylesModifyStyle" tag="Styles" onAction="OnActionButton" getVisible="GetVisible" getEnabled="GetEnabled"/>
          <button id="btnToolsStylesGenReport" label="Generar reporte" screentip="Generar reporte" supertip="Generar reporte de estilos" imageMso="StylesStyleInspector" tag="Styles" onAction="OnActionButton" getVisible="GetVisible" getEnabled="GetEnabled"/>
          <menu id="mnuToolsStyles" size="large" itemSize="normal" label="Otras opciones" screentip="Otras opciones" supertip="Otras opciones de manejo de estilos" imageMso="GroupGoTo" tag="Styles" getVisible="GetVisible" getEnabled="GetEnabled">
            <button id="btnToolsStylesRebuildDef" label="Restablecer predeterminados" screentip="Restablecer predeterminados" supertip="Restablecer estilos predeterminados" imageMso="StylesPaneNewStyle" tag="Styles" onAction="OnActionButton" getVisible="GetVisible" getEnabled="GetEnabled"/>
          </menu>
        </group>
        <group id="grpToolsSecurity" autoScale="false" centerVertically="false" label="Seguridad" getVisible="GetVisible" tag="Styles">
          <splitButton id="sbtnToolsSecurity" size="large">
            <toggleButton id="tgbToolsProtectSheets" screentip="Proteger - Desproteger hojas" supertip="Proteger y desproteger las hojas" imageMso="ReviewProtectWorkbook" tag="Styles" onAction="OnActionTglButton" getPressed="GetPressedTglButton" getEnabled="GetEnabled" getLabel="Getlabel"/>
            <menu id="mnuToolsSecurity">
              <toggleButton id="tgbToolsProtectWorkbook" screentip="Proteger - Desproteger libro" supertip="Proteger y desproteger las hojas" imageMso="ReviewProtectWorkbook" tag="Styles" onAction="OnActionTglButton" getPressed="GetPressedTglButton" getVisible="GetVisible" getEnabled="GetEnabled" getLabel="Getlabel"/>
            </menu>
          </splitButton>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FF9A3F9-2127-486C-AC92-05380BB60C2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19</vt:i4>
      </vt:variant>
    </vt:vector>
  </HeadingPairs>
  <TitlesOfParts>
    <vt:vector size="30" baseType="lpstr">
      <vt:lpstr>ReporteEstilos</vt:lpstr>
      <vt:lpstr>TestQuery</vt:lpstr>
      <vt:lpstr>Portada</vt:lpstr>
      <vt:lpstr>Plantilla</vt:lpstr>
      <vt:lpstr>Parametros</vt:lpstr>
      <vt:lpstr>Configuracion</vt:lpstr>
      <vt:lpstr>Rendimiento</vt:lpstr>
      <vt:lpstr>Registros</vt:lpstr>
      <vt:lpstr>Estilos</vt:lpstr>
      <vt:lpstr>AppConfig</vt:lpstr>
      <vt:lpstr>Listados</vt:lpstr>
      <vt:lpstr>CON_Cargar_Det_Hist</vt:lpstr>
      <vt:lpstr>CON_Tab_Mostrar_Inicio</vt:lpstr>
      <vt:lpstr>LIS_AccionGeneral_Titulo</vt:lpstr>
      <vt:lpstr>LIS_AccionPlantilla_Titulo</vt:lpstr>
      <vt:lpstr>LIS_Dias_En_Ano</vt:lpstr>
      <vt:lpstr>LIS_Fact_Conv</vt:lpstr>
      <vt:lpstr>LIS_Meses_En_Ano</vt:lpstr>
      <vt:lpstr>LIS_Modalidad_InteresCapital</vt:lpstr>
      <vt:lpstr>LIS_Modulo_NombreVBA</vt:lpstr>
      <vt:lpstr>LIS_Opcion_Si</vt:lpstr>
      <vt:lpstr>LIS_Opcion_SiNo</vt:lpstr>
      <vt:lpstr>LIS_PestanaCinOpciones_Nombre</vt:lpstr>
      <vt:lpstr>LIS_ST_Meses_Nombres</vt:lpstr>
      <vt:lpstr>LIS_TipoObjetoExcel_Tipo</vt:lpstr>
      <vt:lpstr>LIS_Version_Desarrollo</vt:lpstr>
      <vt:lpstr>PAR_App_Company_Name</vt:lpstr>
      <vt:lpstr>PAR_App_Date_Updated</vt:lpstr>
      <vt:lpstr>PAR_App_Tags</vt:lpstr>
      <vt:lpstr>PAR_App_Title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Ricardo Diaz</dc:creator>
  <cp:lastModifiedBy>Ricardo Diaz</cp:lastModifiedBy>
  <dcterms:created xsi:type="dcterms:W3CDTF">2019-11-15T16:37:41Z</dcterms:created>
  <dcterms:modified xsi:type="dcterms:W3CDTF">2019-11-16T01:44:59Z</dcterms:modified>
</cp:coreProperties>
</file>